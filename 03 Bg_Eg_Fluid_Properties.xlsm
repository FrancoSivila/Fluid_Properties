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f34798a7-f31f-4578-9f63-b9f67aac9770.png" ContentType="image/.png"/>
  <Override PartName="/customUI/images/79fed974-598d-4b6c-a278-ae57f281a767.png" ContentType="image/.png"/>
  <Override PartName="/customUI/images/48f44c93-08a4-4f92-8b1e-6825a2e91df5.png" ContentType="image/.png"/>
  <Override PartName="/customUI/images/570751b6-eb3f-4808-9930-74256a6770bb.png" ContentType="image/.png"/>
  <Override PartName="/customUI/images/f749a7ab-4b5d-4230-a1d6-81c0a3473eec.png" ContentType="image/.png"/>
  <Override PartName="/customUI/images/773ad9cc-2a1a-49ea-865f-38505637aa61.png" ContentType="image/.png"/>
  <Override PartName="/customUI/images/73e9d04f-4e69-45e1-bb93-3e291c72170b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9f3a05e7e2d4a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vilaff\Documents\PER\02. VBA 2.0\Bg_Eg\"/>
    </mc:Choice>
  </mc:AlternateContent>
  <bookViews>
    <workbookView xWindow="0" yWindow="0" windowWidth="23040" windowHeight="8850" activeTab="4"/>
  </bookViews>
  <sheets>
    <sheet name="How To" sheetId="10" r:id="rId1"/>
    <sheet name="Composition" sheetId="1" r:id="rId2"/>
    <sheet name="Gas Properties PR EOS" sheetId="4" r:id="rId3"/>
    <sheet name="Reservoir Properties" sheetId="5" r:id="rId4"/>
    <sheet name="Reservoir" sheetId="9" r:id="rId5"/>
  </sheets>
  <functionGroups builtInGroupCount="18"/>
  <definedNames>
    <definedName name="AOF">#REF!</definedName>
  </definedNames>
  <calcPr calcId="162913"/>
</workbook>
</file>

<file path=xl/calcChain.xml><?xml version="1.0" encoding="utf-8"?>
<calcChain xmlns="http://schemas.openxmlformats.org/spreadsheetml/2006/main">
  <c r="E20" i="9" l="1"/>
  <c r="D20" i="9"/>
  <c r="E12" i="9"/>
  <c r="D12" i="9"/>
  <c r="D23" i="9"/>
  <c r="D10" i="9"/>
  <c r="E10" i="9"/>
  <c r="D21" i="9"/>
  <c r="E21" i="9"/>
  <c r="E22" i="9" s="1"/>
  <c r="E23" i="9" s="1"/>
  <c r="D22" i="9"/>
  <c r="D17" i="9"/>
  <c r="D18" i="9" s="1"/>
  <c r="E16" i="9"/>
  <c r="E17" i="9"/>
  <c r="E18" i="9" s="1"/>
  <c r="E19" i="9" s="1"/>
  <c r="E26" i="9"/>
  <c r="E27" i="9" s="1"/>
  <c r="E28" i="9" l="1"/>
  <c r="D25" i="9" l="1"/>
  <c r="T13" i="1"/>
  <c r="T14" i="1"/>
  <c r="D24" i="9"/>
  <c r="E24" i="9"/>
  <c r="D16" i="9"/>
  <c r="D19" i="9" s="1"/>
  <c r="D26" i="9"/>
  <c r="D27" i="9" s="1"/>
  <c r="E25" i="9" l="1"/>
  <c r="D3" i="5"/>
  <c r="D28" i="9"/>
  <c r="C3" i="5"/>
  <c r="P11" i="1" l="1"/>
  <c r="D21" i="1"/>
  <c r="T6" i="1" l="1"/>
  <c r="T9" i="1" s="1"/>
  <c r="T5" i="1"/>
  <c r="T7" i="1" l="1"/>
  <c r="T11" i="1" s="1"/>
  <c r="P17" i="1"/>
  <c r="P14" i="1"/>
  <c r="P5" i="1"/>
  <c r="T17" i="1" l="1"/>
  <c r="P8" i="1"/>
</calcChain>
</file>

<file path=xl/comments1.xml><?xml version="1.0" encoding="utf-8"?>
<comments xmlns="http://schemas.openxmlformats.org/spreadsheetml/2006/main">
  <authors>
    <author>Franco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Franco:</t>
        </r>
        <r>
          <rPr>
            <sz val="9"/>
            <color indexed="81"/>
            <rFont val="Tahoma"/>
            <family val="2"/>
          </rPr>
          <t xml:space="preserve">
Pitzer  Accentric  Factor:    This  factor  (symbol ω),  is  a  parameter  used  in non-ideal equations of state that takes into account the geometry and polarity of a molecule</t>
        </r>
      </text>
    </comment>
  </commentList>
</comments>
</file>

<file path=xl/sharedStrings.xml><?xml version="1.0" encoding="utf-8"?>
<sst xmlns="http://schemas.openxmlformats.org/spreadsheetml/2006/main" count="221" uniqueCount="130">
  <si>
    <t>Component</t>
  </si>
  <si>
    <t>Formula</t>
  </si>
  <si>
    <t>CARBON DIOXIDE</t>
  </si>
  <si>
    <t>HYDROGEN SULFIDE</t>
  </si>
  <si>
    <t>NITROGEN</t>
  </si>
  <si>
    <t>METHANE</t>
  </si>
  <si>
    <r>
      <t>CH</t>
    </r>
    <r>
      <rPr>
        <vertAlign val="subscript"/>
        <sz val="9"/>
        <color theme="1"/>
        <rFont val="Calibri"/>
        <family val="2"/>
      </rPr>
      <t>4</t>
    </r>
  </si>
  <si>
    <t>ETHANE</t>
  </si>
  <si>
    <r>
      <t>C</t>
    </r>
    <r>
      <rPr>
        <vertAlign val="subscript"/>
        <sz val="9"/>
        <color theme="1"/>
        <rFont val="Calibri"/>
        <family val="2"/>
      </rPr>
      <t>2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6</t>
    </r>
  </si>
  <si>
    <t>PROPANE</t>
  </si>
  <si>
    <r>
      <t>C</t>
    </r>
    <r>
      <rPr>
        <vertAlign val="subscript"/>
        <sz val="9"/>
        <color theme="1"/>
        <rFont val="Calibri"/>
        <family val="2"/>
      </rPr>
      <t>3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8</t>
    </r>
  </si>
  <si>
    <t>N-BUTANE</t>
  </si>
  <si>
    <r>
      <t>C</t>
    </r>
    <r>
      <rPr>
        <vertAlign val="subscript"/>
        <sz val="9"/>
        <color theme="1"/>
        <rFont val="Calibri"/>
        <family val="2"/>
      </rPr>
      <t>4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10</t>
    </r>
  </si>
  <si>
    <t>ISOBUTANE</t>
  </si>
  <si>
    <t>N-PENTANE</t>
  </si>
  <si>
    <r>
      <t>C</t>
    </r>
    <r>
      <rPr>
        <vertAlign val="subscript"/>
        <sz val="9"/>
        <color theme="1"/>
        <rFont val="Calibri"/>
        <family val="2"/>
      </rPr>
      <t>5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12</t>
    </r>
  </si>
  <si>
    <t>ISOPENTANE</t>
  </si>
  <si>
    <t>N-HEXANE</t>
  </si>
  <si>
    <r>
      <t>C</t>
    </r>
    <r>
      <rPr>
        <vertAlign val="subscript"/>
        <sz val="9"/>
        <color theme="1"/>
        <rFont val="Calibri"/>
        <family val="2"/>
      </rPr>
      <t>6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14</t>
    </r>
  </si>
  <si>
    <t>N-HEPTANE</t>
  </si>
  <si>
    <r>
      <t>C</t>
    </r>
    <r>
      <rPr>
        <vertAlign val="subscript"/>
        <sz val="9"/>
        <color theme="1"/>
        <rFont val="Calibri"/>
        <family val="2"/>
      </rPr>
      <t>7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16</t>
    </r>
  </si>
  <si>
    <t>N-OCTANE</t>
  </si>
  <si>
    <r>
      <t>C</t>
    </r>
    <r>
      <rPr>
        <vertAlign val="subscript"/>
        <sz val="9"/>
        <color theme="1"/>
        <rFont val="Calibri"/>
        <family val="2"/>
      </rPr>
      <t>8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18</t>
    </r>
  </si>
  <si>
    <t>N-NONANE</t>
  </si>
  <si>
    <r>
      <t>C</t>
    </r>
    <r>
      <rPr>
        <vertAlign val="subscript"/>
        <sz val="9"/>
        <color theme="1"/>
        <rFont val="Calibri"/>
        <family val="2"/>
      </rPr>
      <t>9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20</t>
    </r>
  </si>
  <si>
    <t>N-DECANE</t>
  </si>
  <si>
    <r>
      <t>C</t>
    </r>
    <r>
      <rPr>
        <vertAlign val="subscript"/>
        <sz val="9"/>
        <color theme="1"/>
        <rFont val="Calibri"/>
        <family val="2"/>
      </rPr>
      <t>10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22</t>
    </r>
  </si>
  <si>
    <t>MW</t>
  </si>
  <si>
    <t>Tc</t>
  </si>
  <si>
    <t>Pc</t>
  </si>
  <si>
    <t>ºF</t>
  </si>
  <si>
    <t>psi</t>
  </si>
  <si>
    <t>w</t>
  </si>
  <si>
    <t>Composition</t>
  </si>
  <si>
    <t>%</t>
  </si>
  <si>
    <r>
      <t>CO</t>
    </r>
    <r>
      <rPr>
        <vertAlign val="subscript"/>
        <sz val="9"/>
        <color rgb="FF0000FF"/>
        <rFont val="Calibri"/>
        <family val="2"/>
      </rPr>
      <t>2</t>
    </r>
  </si>
  <si>
    <r>
      <t>H</t>
    </r>
    <r>
      <rPr>
        <vertAlign val="subscript"/>
        <sz val="9"/>
        <color rgb="FF0000FF"/>
        <rFont val="Calibri"/>
        <family val="2"/>
      </rPr>
      <t>2</t>
    </r>
    <r>
      <rPr>
        <sz val="9"/>
        <color rgb="FF0000FF"/>
        <rFont val="Calibri"/>
        <family val="2"/>
      </rPr>
      <t>S</t>
    </r>
  </si>
  <si>
    <r>
      <t>N</t>
    </r>
    <r>
      <rPr>
        <vertAlign val="subscript"/>
        <sz val="9"/>
        <color rgb="FF0000FF"/>
        <rFont val="Calibri"/>
        <family val="2"/>
      </rPr>
      <t>2</t>
    </r>
  </si>
  <si>
    <t>y</t>
  </si>
  <si>
    <t>Pseudo Properties</t>
  </si>
  <si>
    <t>Temperature</t>
  </si>
  <si>
    <t>Pressure Min</t>
  </si>
  <si>
    <t>Pressure Max</t>
  </si>
  <si>
    <t>Pressure</t>
  </si>
  <si>
    <t>Press Increment</t>
  </si>
  <si>
    <t>EOS - Peng-Robinson (1976)</t>
  </si>
  <si>
    <t>Gas</t>
  </si>
  <si>
    <t>Cubic Equation Coefficients</t>
  </si>
  <si>
    <t>Real Roots</t>
  </si>
  <si>
    <t>Bg</t>
  </si>
  <si>
    <t>Density</t>
  </si>
  <si>
    <t>Viscosity</t>
  </si>
  <si>
    <t>k</t>
  </si>
  <si>
    <t>a</t>
  </si>
  <si>
    <t>b</t>
  </si>
  <si>
    <t>A</t>
  </si>
  <si>
    <t>B</t>
  </si>
  <si>
    <t>x</t>
  </si>
  <si>
    <t>s</t>
  </si>
  <si>
    <t>Z</t>
  </si>
  <si>
    <t>bbl/scf</t>
  </si>
  <si>
    <t>cf/scf</t>
  </si>
  <si>
    <t>lbm/ft3</t>
  </si>
  <si>
    <t>cp</t>
  </si>
  <si>
    <t>Tpc</t>
  </si>
  <si>
    <t>Carbon Dioxide</t>
  </si>
  <si>
    <t>decimal</t>
  </si>
  <si>
    <t>Hydrogen Sulfide</t>
  </si>
  <si>
    <t>ºR</t>
  </si>
  <si>
    <t>Adjustment for Nonhydrocarbon</t>
  </si>
  <si>
    <t>Wichert &amp; Aziz Correlation</t>
  </si>
  <si>
    <t>Pseudo-Crital Properties from Gas Composition</t>
  </si>
  <si>
    <t>From</t>
  </si>
  <si>
    <t>Ppr</t>
  </si>
  <si>
    <t>to</t>
  </si>
  <si>
    <t>No. of Steps</t>
  </si>
  <si>
    <t xml:space="preserve">Temp.: </t>
  </si>
  <si>
    <t xml:space="preserve">Tpr: </t>
  </si>
  <si>
    <t>Z Factor</t>
  </si>
  <si>
    <t>lbm/cf</t>
  </si>
  <si>
    <t>Max</t>
  </si>
  <si>
    <t>Min</t>
  </si>
  <si>
    <t>Input Variable</t>
  </si>
  <si>
    <t>unit</t>
  </si>
  <si>
    <t>Reservoir, Top Depth</t>
  </si>
  <si>
    <t>:</t>
  </si>
  <si>
    <t>m</t>
  </si>
  <si>
    <t>Hydrocarbon Column</t>
  </si>
  <si>
    <t>Pore pressure gradient</t>
  </si>
  <si>
    <t>psi/ft</t>
  </si>
  <si>
    <t>Gas press. gradient (reservoir)</t>
  </si>
  <si>
    <t>Surface Temperature</t>
  </si>
  <si>
    <t>ºC</t>
  </si>
  <si>
    <t>Temperature Gradient</t>
  </si>
  <si>
    <t>ºF/100ft</t>
  </si>
  <si>
    <t>ºC/100m</t>
  </si>
  <si>
    <t>Calculated Variable</t>
  </si>
  <si>
    <t>GWC Depth</t>
  </si>
  <si>
    <t>Pressure @ GWC</t>
  </si>
  <si>
    <t>Pressure @ Top</t>
  </si>
  <si>
    <t>Average Pressure</t>
  </si>
  <si>
    <t>Factor-z</t>
  </si>
  <si>
    <t>Temp. @ GWC</t>
  </si>
  <si>
    <t>Temp. @ Top</t>
  </si>
  <si>
    <t>Average Temperature</t>
  </si>
  <si>
    <t>Gas Volume Factor, Bgi</t>
  </si>
  <si>
    <t>Gas Expansion Factor, Egi</t>
  </si>
  <si>
    <t>scf/cf</t>
  </si>
  <si>
    <t>Eg</t>
  </si>
  <si>
    <t>Tpr</t>
  </si>
  <si>
    <t>1.-</t>
  </si>
  <si>
    <t>2.-</t>
  </si>
  <si>
    <t>Input composition</t>
  </si>
  <si>
    <t>Calculate Pseudo-critical properties</t>
  </si>
  <si>
    <t>Calculate fluid properties (Factor-z, Gas Viscosity, Density, Eg, Bg)</t>
  </si>
  <si>
    <t>Input reservoir data (depths, pressure gradient, temperature gradient)</t>
  </si>
  <si>
    <t>Calculate curves for reservoir data</t>
  </si>
  <si>
    <t>3.-</t>
  </si>
  <si>
    <t>4.-</t>
  </si>
  <si>
    <t>5.-</t>
  </si>
  <si>
    <t>Sheet</t>
  </si>
  <si>
    <t>Action</t>
  </si>
  <si>
    <t>Gas Properties PR EOS</t>
  </si>
  <si>
    <t>Click ribbon button (Calculate Gas Prop.)</t>
  </si>
  <si>
    <t>Click ribbon button (Calculate PseudoCritical Prop.)</t>
  </si>
  <si>
    <t>Reservoir</t>
  </si>
  <si>
    <t>Input data</t>
  </si>
  <si>
    <t>Reservoir properties</t>
  </si>
  <si>
    <t>Click sheet button (Generate)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</si>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</sst>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0.0"/>
    <numFmt numFmtId="166" formatCode="0.0000"/>
    <numFmt numFmtId="167" formatCode="0.00000"/>
    <numFmt numFmtId="168" formatCode="0.0;0;0"/>
    <numFmt numFmtId="169" formatCode="0.0000;0;0"/>
    <numFmt numFmtId="170" formatCode="0.000000"/>
    <numFmt numFmtId="171" formatCode="0.000"/>
    <numFmt numFmtId="172" formatCode="0.00;0;0"/>
    <numFmt numFmtId="173" formatCode="0.0000000"/>
    <numFmt numFmtId="174" formatCode="0.0000;\-0.0;&quot;--&quot;"/>
    <numFmt numFmtId="175" formatCode="0.00000000000000000"/>
    <numFmt numFmtId="176" formatCode="#,##0.0"/>
    <numFmt numFmtId="177" formatCode="_(* #,##0.0_);_(* \(#,##0.0\);_(* &quot;-&quot;??_);_(@_)"/>
    <numFmt numFmtId="178" formatCode="_(* #,##0.000_);_(* \(#,##0.000\);_(* &quot;-&quot;??_);_(@_)"/>
    <numFmt numFmtId="179" formatCode="_(* #,##0.00000_);_(* \(#,##0.00000\);_(* &quot;-&quot;??_);_(@_)"/>
    <numFmt numFmtId="182" formatCode="_(* #,##0.0000_);_(* \(#,##0.0000\);_(* &quot;-&quot;??_);_(@_)"/>
  </numFmts>
  <fonts count="28" x14ac:knownFonts="1"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8"/>
      <name val="Arial"/>
      <family val="2"/>
    </font>
    <font>
      <sz val="9"/>
      <color theme="1"/>
      <name val="Calibri"/>
      <family val="2"/>
    </font>
    <font>
      <vertAlign val="subscript"/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color theme="1"/>
      <name val="Arial"/>
      <family val="2"/>
    </font>
    <font>
      <sz val="9"/>
      <color rgb="FF0000FF"/>
      <name val="Calibri"/>
      <family val="2"/>
    </font>
    <font>
      <vertAlign val="subscript"/>
      <sz val="9"/>
      <color rgb="FF0000FF"/>
      <name val="Calibri"/>
      <family val="2"/>
    </font>
    <font>
      <sz val="14"/>
      <color theme="1"/>
      <name val="Symbol"/>
      <family val="1"/>
      <charset val="2"/>
    </font>
    <font>
      <b/>
      <sz val="9"/>
      <color theme="1"/>
      <name val="Times New Roman"/>
      <family val="1"/>
    </font>
    <font>
      <b/>
      <sz val="9"/>
      <color rgb="FF0000FF"/>
      <name val="Calibri"/>
      <family val="2"/>
    </font>
    <font>
      <b/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DDEBF7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theme="1"/>
      <name val="Symbol"/>
      <family val="1"/>
      <charset val="2"/>
    </font>
    <font>
      <sz val="9"/>
      <color theme="0" tint="-0.499984740745262"/>
      <name val="Calibri"/>
      <family val="2"/>
      <scheme val="minor"/>
    </font>
    <font>
      <b/>
      <sz val="10"/>
      <color rgb="FF0000FF"/>
      <name val="Calibri"/>
      <family val="2"/>
    </font>
    <font>
      <sz val="9"/>
      <color theme="1"/>
      <name val="Arial"/>
      <family val="2"/>
    </font>
    <font>
      <sz val="9"/>
      <color rgb="FF0000FF"/>
      <name val="Calibri"/>
      <family val="2"/>
      <scheme val="minor"/>
    </font>
    <font>
      <sz val="8"/>
      <color theme="0" tint="-0.499984740745262"/>
      <name val="Arial"/>
      <family val="2"/>
    </font>
    <font>
      <b/>
      <sz val="10"/>
      <color rgb="FF0000FF"/>
      <name val="Calibri"/>
      <family val="2"/>
      <scheme val="minor"/>
    </font>
    <font>
      <b/>
      <sz val="9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06918546098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3">
    <xf numFmtId="0" fontId="0" fillId="0" borderId="0"/>
    <xf numFmtId="0" fontId="3" fillId="0" borderId="0"/>
    <xf numFmtId="164" fontId="23" fillId="0" borderId="0" applyFont="0" applyFill="0" applyBorder="0" applyAlignment="0" applyProtection="0"/>
  </cellStyleXfs>
  <cellXfs count="308">
    <xf numFmtId="0" fontId="0" fillId="0" borderId="0" xfId="0"/>
    <xf numFmtId="0" fontId="4" fillId="0" borderId="0" xfId="0" applyFont="1" applyBorder="1"/>
    <xf numFmtId="0" fontId="4" fillId="0" borderId="0" xfId="0" applyFont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8" fillId="0" borderId="1" xfId="0" applyFont="1" applyBorder="1"/>
    <xf numFmtId="0" fontId="8" fillId="0" borderId="2" xfId="0" applyFont="1" applyBorder="1"/>
    <xf numFmtId="0" fontId="8" fillId="0" borderId="5" xfId="0" applyFont="1" applyBorder="1"/>
    <xf numFmtId="0" fontId="8" fillId="0" borderId="0" xfId="0" applyFont="1" applyBorder="1"/>
    <xf numFmtId="0" fontId="8" fillId="0" borderId="12" xfId="0" applyFont="1" applyBorder="1"/>
    <xf numFmtId="0" fontId="8" fillId="0" borderId="13" xfId="0" applyFont="1" applyBorder="1"/>
    <xf numFmtId="0" fontId="4" fillId="0" borderId="0" xfId="0" applyFont="1" applyAlignment="1">
      <alignment horizontal="right" indent="1"/>
    </xf>
    <xf numFmtId="0" fontId="6" fillId="2" borderId="2" xfId="0" applyFont="1" applyFill="1" applyBorder="1" applyAlignment="1">
      <alignment horizontal="right" indent="1"/>
    </xf>
    <xf numFmtId="0" fontId="4" fillId="2" borderId="4" xfId="0" applyFont="1" applyFill="1" applyBorder="1" applyAlignment="1">
      <alignment horizontal="right" indent="1"/>
    </xf>
    <xf numFmtId="0" fontId="7" fillId="2" borderId="4" xfId="0" applyFont="1" applyFill="1" applyBorder="1" applyAlignment="1">
      <alignment horizontal="right" indent="1"/>
    </xf>
    <xf numFmtId="0" fontId="8" fillId="0" borderId="2" xfId="0" applyFont="1" applyBorder="1" applyAlignment="1">
      <alignment horizontal="right" indent="1"/>
    </xf>
    <xf numFmtId="0" fontId="8" fillId="0" borderId="0" xfId="0" applyFont="1" applyBorder="1" applyAlignment="1">
      <alignment horizontal="right" indent="1"/>
    </xf>
    <xf numFmtId="0" fontId="8" fillId="0" borderId="13" xfId="0" applyFont="1" applyBorder="1" applyAlignment="1">
      <alignment horizontal="right" indent="1"/>
    </xf>
    <xf numFmtId="0" fontId="4" fillId="0" borderId="0" xfId="0" applyFont="1" applyBorder="1" applyAlignment="1">
      <alignment horizontal="right" indent="1"/>
    </xf>
    <xf numFmtId="0" fontId="4" fillId="0" borderId="4" xfId="0" applyFont="1" applyBorder="1" applyAlignment="1">
      <alignment horizontal="right" indent="1"/>
    </xf>
    <xf numFmtId="0" fontId="6" fillId="2" borderId="0" xfId="0" applyFont="1" applyFill="1" applyBorder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2" fontId="4" fillId="0" borderId="0" xfId="0" applyNumberFormat="1" applyFont="1"/>
    <xf numFmtId="0" fontId="4" fillId="3" borderId="1" xfId="0" applyFont="1" applyFill="1" applyBorder="1"/>
    <xf numFmtId="0" fontId="4" fillId="3" borderId="6" xfId="0" applyFont="1" applyFill="1" applyBorder="1"/>
    <xf numFmtId="0" fontId="4" fillId="3" borderId="9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4" fillId="3" borderId="11" xfId="0" applyFont="1" applyFill="1" applyBorder="1"/>
    <xf numFmtId="166" fontId="4" fillId="0" borderId="11" xfId="0" applyNumberFormat="1" applyFont="1" applyBorder="1" applyAlignment="1">
      <alignment horizontal="right" indent="1"/>
    </xf>
    <xf numFmtId="166" fontId="4" fillId="0" borderId="10" xfId="0" applyNumberFormat="1" applyFont="1" applyBorder="1" applyAlignment="1">
      <alignment horizontal="right" indent="1"/>
    </xf>
    <xf numFmtId="166" fontId="8" fillId="0" borderId="9" xfId="0" applyNumberFormat="1" applyFont="1" applyBorder="1" applyAlignment="1">
      <alignment horizontal="right" indent="1"/>
    </xf>
    <xf numFmtId="166" fontId="8" fillId="0" borderId="11" xfId="0" applyNumberFormat="1" applyFont="1" applyBorder="1" applyAlignment="1">
      <alignment horizontal="right" indent="1"/>
    </xf>
    <xf numFmtId="166" fontId="8" fillId="0" borderId="14" xfId="0" applyNumberFormat="1" applyFont="1" applyBorder="1" applyAlignment="1">
      <alignment horizontal="right" indent="1"/>
    </xf>
    <xf numFmtId="0" fontId="4" fillId="2" borderId="1" xfId="0" applyFont="1" applyFill="1" applyBorder="1"/>
    <xf numFmtId="0" fontId="4" fillId="2" borderId="9" xfId="0" applyFont="1" applyFill="1" applyBorder="1"/>
    <xf numFmtId="0" fontId="4" fillId="2" borderId="5" xfId="0" applyFont="1" applyFill="1" applyBorder="1"/>
    <xf numFmtId="0" fontId="4" fillId="2" borderId="11" xfId="0" applyFont="1" applyFill="1" applyBorder="1"/>
    <xf numFmtId="0" fontId="4" fillId="2" borderId="3" xfId="0" applyFont="1" applyFill="1" applyBorder="1"/>
    <xf numFmtId="0" fontId="4" fillId="2" borderId="10" xfId="0" applyFont="1" applyFill="1" applyBorder="1"/>
    <xf numFmtId="0" fontId="0" fillId="2" borderId="11" xfId="0" applyFont="1" applyFill="1" applyBorder="1"/>
    <xf numFmtId="0" fontId="16" fillId="0" borderId="0" xfId="0" applyFont="1"/>
    <xf numFmtId="0" fontId="4" fillId="6" borderId="22" xfId="0" applyFont="1" applyFill="1" applyBorder="1"/>
    <xf numFmtId="2" fontId="6" fillId="6" borderId="23" xfId="0" applyNumberFormat="1" applyFont="1" applyFill="1" applyBorder="1" applyAlignment="1">
      <alignment horizontal="right" vertical="center" indent="1"/>
    </xf>
    <xf numFmtId="0" fontId="17" fillId="0" borderId="0" xfId="0" applyFont="1"/>
    <xf numFmtId="169" fontId="17" fillId="0" borderId="0" xfId="0" applyNumberFormat="1" applyFont="1"/>
    <xf numFmtId="0" fontId="17" fillId="0" borderId="0" xfId="0" applyFont="1" applyAlignment="1">
      <alignment horizontal="right" indent="1"/>
    </xf>
    <xf numFmtId="0" fontId="17" fillId="2" borderId="1" xfId="0" applyFont="1" applyFill="1" applyBorder="1" applyAlignment="1">
      <alignment horizontal="left" indent="1"/>
    </xf>
    <xf numFmtId="165" fontId="17" fillId="2" borderId="2" xfId="0" applyNumberFormat="1" applyFont="1" applyFill="1" applyBorder="1"/>
    <xf numFmtId="0" fontId="17" fillId="2" borderId="9" xfId="0" applyFont="1" applyFill="1" applyBorder="1"/>
    <xf numFmtId="0" fontId="17" fillId="2" borderId="5" xfId="0" applyFont="1" applyFill="1" applyBorder="1" applyAlignment="1">
      <alignment horizontal="left" indent="1"/>
    </xf>
    <xf numFmtId="165" fontId="17" fillId="2" borderId="0" xfId="0" applyNumberFormat="1" applyFont="1" applyFill="1" applyBorder="1"/>
    <xf numFmtId="0" fontId="17" fillId="2" borderId="11" xfId="0" applyFont="1" applyFill="1" applyBorder="1"/>
    <xf numFmtId="0" fontId="17" fillId="2" borderId="3" xfId="0" applyFont="1" applyFill="1" applyBorder="1" applyAlignment="1">
      <alignment horizontal="left" indent="1"/>
    </xf>
    <xf numFmtId="165" fontId="17" fillId="2" borderId="4" xfId="0" applyNumberFormat="1" applyFont="1" applyFill="1" applyBorder="1"/>
    <xf numFmtId="0" fontId="17" fillId="2" borderId="10" xfId="0" applyFont="1" applyFill="1" applyBorder="1"/>
    <xf numFmtId="0" fontId="17" fillId="5" borderId="22" xfId="0" applyFont="1" applyFill="1" applyBorder="1" applyAlignment="1">
      <alignment horizontal="left" indent="1"/>
    </xf>
    <xf numFmtId="168" fontId="17" fillId="5" borderId="24" xfId="0" applyNumberFormat="1" applyFont="1" applyFill="1" applyBorder="1"/>
    <xf numFmtId="0" fontId="17" fillId="5" borderId="23" xfId="0" applyFont="1" applyFill="1" applyBorder="1"/>
    <xf numFmtId="169" fontId="17" fillId="0" borderId="0" xfId="0" applyNumberFormat="1" applyFont="1" applyAlignment="1">
      <alignment horizontal="right" indent="1"/>
    </xf>
    <xf numFmtId="170" fontId="17" fillId="0" borderId="0" xfId="0" applyNumberFormat="1" applyFont="1" applyAlignment="1">
      <alignment horizontal="right" indent="1"/>
    </xf>
    <xf numFmtId="167" fontId="17" fillId="0" borderId="0" xfId="0" applyNumberFormat="1" applyFont="1" applyAlignment="1">
      <alignment horizontal="right" indent="1"/>
    </xf>
    <xf numFmtId="2" fontId="17" fillId="0" borderId="0" xfId="0" applyNumberFormat="1" applyFont="1" applyAlignment="1">
      <alignment horizontal="right" indent="1"/>
    </xf>
    <xf numFmtId="0" fontId="2" fillId="0" borderId="0" xfId="0" applyFont="1"/>
    <xf numFmtId="0" fontId="7" fillId="2" borderId="11" xfId="0" applyFont="1" applyFill="1" applyBorder="1"/>
    <xf numFmtId="0" fontId="4" fillId="7" borderId="29" xfId="0" applyFont="1" applyFill="1" applyBorder="1"/>
    <xf numFmtId="0" fontId="4" fillId="7" borderId="31" xfId="0" applyFont="1" applyFill="1" applyBorder="1"/>
    <xf numFmtId="0" fontId="4" fillId="7" borderId="32" xfId="0" applyFont="1" applyFill="1" applyBorder="1"/>
    <xf numFmtId="0" fontId="4" fillId="7" borderId="34" xfId="0" applyFont="1" applyFill="1" applyBorder="1"/>
    <xf numFmtId="0" fontId="2" fillId="7" borderId="35" xfId="0" applyFont="1" applyFill="1" applyBorder="1"/>
    <xf numFmtId="0" fontId="7" fillId="7" borderId="37" xfId="0" applyFont="1" applyFill="1" applyBorder="1"/>
    <xf numFmtId="171" fontId="4" fillId="7" borderId="30" xfId="0" applyNumberFormat="1" applyFont="1" applyFill="1" applyBorder="1" applyAlignment="1">
      <alignment horizontal="right" vertical="center" indent="1"/>
    </xf>
    <xf numFmtId="171" fontId="4" fillId="7" borderId="33" xfId="0" applyNumberFormat="1" applyFont="1" applyFill="1" applyBorder="1" applyAlignment="1">
      <alignment horizontal="right" vertical="center" indent="1"/>
    </xf>
    <xf numFmtId="171" fontId="4" fillId="7" borderId="36" xfId="0" applyNumberFormat="1" applyFont="1" applyFill="1" applyBorder="1" applyAlignment="1">
      <alignment horizontal="right" vertical="center" indent="1"/>
    </xf>
    <xf numFmtId="0" fontId="18" fillId="5" borderId="1" xfId="0" applyFont="1" applyFill="1" applyBorder="1" applyAlignment="1">
      <alignment horizontal="right" indent="1"/>
    </xf>
    <xf numFmtId="0" fontId="18" fillId="5" borderId="2" xfId="0" applyFont="1" applyFill="1" applyBorder="1" applyAlignment="1">
      <alignment horizontal="right" indent="1"/>
    </xf>
    <xf numFmtId="0" fontId="18" fillId="5" borderId="9" xfId="0" applyFont="1" applyFill="1" applyBorder="1" applyAlignment="1">
      <alignment horizontal="right" indent="1"/>
    </xf>
    <xf numFmtId="0" fontId="17" fillId="2" borderId="6" xfId="0" applyFont="1" applyFill="1" applyBorder="1" applyAlignment="1">
      <alignment horizontal="right" indent="1"/>
    </xf>
    <xf numFmtId="0" fontId="17" fillId="2" borderId="1" xfId="0" applyFont="1" applyFill="1" applyBorder="1"/>
    <xf numFmtId="0" fontId="17" fillId="2" borderId="26" xfId="0" applyFont="1" applyFill="1" applyBorder="1"/>
    <xf numFmtId="0" fontId="18" fillId="2" borderId="7" xfId="0" applyFont="1" applyFill="1" applyBorder="1" applyAlignment="1">
      <alignment horizontal="right" indent="1"/>
    </xf>
    <xf numFmtId="0" fontId="17" fillId="2" borderId="5" xfId="0" applyFont="1" applyFill="1" applyBorder="1" applyAlignment="1">
      <alignment horizontal="right"/>
    </xf>
    <xf numFmtId="0" fontId="17" fillId="2" borderId="27" xfId="0" applyFont="1" applyFill="1" applyBorder="1" applyAlignment="1">
      <alignment horizontal="right"/>
    </xf>
    <xf numFmtId="0" fontId="18" fillId="2" borderId="8" xfId="0" applyFont="1" applyFill="1" applyBorder="1" applyAlignment="1">
      <alignment horizontal="right" indent="1"/>
    </xf>
    <xf numFmtId="0" fontId="17" fillId="2" borderId="3" xfId="0" applyFont="1" applyFill="1" applyBorder="1"/>
    <xf numFmtId="0" fontId="17" fillId="2" borderId="28" xfId="0" applyFont="1" applyFill="1" applyBorder="1"/>
    <xf numFmtId="0" fontId="17" fillId="5" borderId="3" xfId="0" applyFont="1" applyFill="1" applyBorder="1" applyAlignment="1">
      <alignment horizontal="right" indent="1"/>
    </xf>
    <xf numFmtId="0" fontId="20" fillId="5" borderId="4" xfId="0" applyFont="1" applyFill="1" applyBorder="1" applyAlignment="1">
      <alignment horizontal="right" indent="1"/>
    </xf>
    <xf numFmtId="0" fontId="17" fillId="5" borderId="4" xfId="0" applyFont="1" applyFill="1" applyBorder="1" applyAlignment="1">
      <alignment horizontal="right" indent="1"/>
    </xf>
    <xf numFmtId="0" fontId="17" fillId="5" borderId="10" xfId="0" applyFont="1" applyFill="1" applyBorder="1" applyAlignment="1">
      <alignment horizontal="right" indent="1"/>
    </xf>
    <xf numFmtId="0" fontId="18" fillId="8" borderId="1" xfId="0" applyFont="1" applyFill="1" applyBorder="1" applyAlignment="1">
      <alignment horizontal="right" indent="1"/>
    </xf>
    <xf numFmtId="0" fontId="18" fillId="8" borderId="9" xfId="0" applyFont="1" applyFill="1" applyBorder="1" applyAlignment="1">
      <alignment horizontal="right" indent="1"/>
    </xf>
    <xf numFmtId="0" fontId="18" fillId="8" borderId="6" xfId="0" applyFont="1" applyFill="1" applyBorder="1" applyAlignment="1">
      <alignment horizontal="right" indent="1"/>
    </xf>
    <xf numFmtId="0" fontId="18" fillId="8" borderId="5" xfId="0" applyFont="1" applyFill="1" applyBorder="1" applyAlignment="1">
      <alignment horizontal="right" indent="1"/>
    </xf>
    <xf numFmtId="0" fontId="18" fillId="8" borderId="11" xfId="0" applyFont="1" applyFill="1" applyBorder="1" applyAlignment="1">
      <alignment horizontal="right" indent="1"/>
    </xf>
    <xf numFmtId="0" fontId="18" fillId="8" borderId="7" xfId="0" applyFont="1" applyFill="1" applyBorder="1" applyAlignment="1">
      <alignment horizontal="right" indent="1"/>
    </xf>
    <xf numFmtId="0" fontId="17" fillId="8" borderId="3" xfId="0" applyFont="1" applyFill="1" applyBorder="1" applyAlignment="1">
      <alignment horizontal="right" indent="1"/>
    </xf>
    <xf numFmtId="0" fontId="17" fillId="8" borderId="10" xfId="0" applyFont="1" applyFill="1" applyBorder="1" applyAlignment="1">
      <alignment horizontal="right" indent="1"/>
    </xf>
    <xf numFmtId="0" fontId="17" fillId="8" borderId="8" xfId="0" applyFont="1" applyFill="1" applyBorder="1" applyAlignment="1">
      <alignment horizontal="right" indent="1"/>
    </xf>
    <xf numFmtId="0" fontId="18" fillId="5" borderId="1" xfId="0" applyFont="1" applyFill="1" applyBorder="1" applyAlignment="1">
      <alignment horizontal="left" indent="1"/>
    </xf>
    <xf numFmtId="0" fontId="12" fillId="0" borderId="0" xfId="0" applyFont="1"/>
    <xf numFmtId="2" fontId="17" fillId="0" borderId="0" xfId="0" applyNumberFormat="1" applyFont="1"/>
    <xf numFmtId="0" fontId="17" fillId="0" borderId="0" xfId="0" applyFont="1" applyAlignment="1">
      <alignment horizontal="left" indent="1"/>
    </xf>
    <xf numFmtId="0" fontId="17" fillId="0" borderId="24" xfId="0" applyFont="1" applyBorder="1"/>
    <xf numFmtId="0" fontId="17" fillId="0" borderId="23" xfId="0" applyFont="1" applyBorder="1"/>
    <xf numFmtId="0" fontId="17" fillId="0" borderId="0" xfId="0" applyFont="1" applyBorder="1"/>
    <xf numFmtId="0" fontId="17" fillId="0" borderId="0" xfId="0" applyFont="1" applyAlignment="1">
      <alignment horizontal="right"/>
    </xf>
    <xf numFmtId="0" fontId="17" fillId="0" borderId="22" xfId="0" applyFont="1" applyBorder="1"/>
    <xf numFmtId="0" fontId="0" fillId="0" borderId="0" xfId="0" applyAlignment="1">
      <alignment horizontal="right"/>
    </xf>
    <xf numFmtId="0" fontId="17" fillId="0" borderId="6" xfId="0" applyFont="1" applyBorder="1" applyAlignment="1">
      <alignment horizontal="right"/>
    </xf>
    <xf numFmtId="0" fontId="17" fillId="0" borderId="8" xfId="0" applyFont="1" applyBorder="1" applyAlignment="1">
      <alignment horizontal="right"/>
    </xf>
    <xf numFmtId="172" fontId="17" fillId="0" borderId="0" xfId="0" applyNumberFormat="1" applyFont="1" applyAlignment="1">
      <alignment horizontal="right"/>
    </xf>
    <xf numFmtId="169" fontId="17" fillId="0" borderId="0" xfId="0" applyNumberFormat="1" applyFont="1" applyAlignment="1">
      <alignment horizontal="right"/>
    </xf>
    <xf numFmtId="169" fontId="17" fillId="0" borderId="3" xfId="0" applyNumberFormat="1" applyFont="1" applyBorder="1" applyAlignment="1">
      <alignment horizontal="right"/>
    </xf>
    <xf numFmtId="169" fontId="17" fillId="0" borderId="4" xfId="0" applyNumberFormat="1" applyFont="1" applyBorder="1" applyAlignment="1">
      <alignment horizontal="right"/>
    </xf>
    <xf numFmtId="0" fontId="18" fillId="0" borderId="7" xfId="0" applyFont="1" applyBorder="1" applyAlignment="1">
      <alignment horizontal="right"/>
    </xf>
    <xf numFmtId="169" fontId="18" fillId="0" borderId="1" xfId="0" applyNumberFormat="1" applyFont="1" applyBorder="1" applyAlignment="1">
      <alignment horizontal="right"/>
    </xf>
    <xf numFmtId="169" fontId="18" fillId="0" borderId="2" xfId="0" applyNumberFormat="1" applyFont="1" applyBorder="1" applyAlignment="1">
      <alignment horizontal="right"/>
    </xf>
    <xf numFmtId="0" fontId="18" fillId="0" borderId="6" xfId="0" applyFont="1" applyBorder="1"/>
    <xf numFmtId="0" fontId="18" fillId="0" borderId="8" xfId="0" applyFont="1" applyBorder="1"/>
    <xf numFmtId="0" fontId="18" fillId="0" borderId="23" xfId="0" applyFont="1" applyBorder="1" applyAlignment="1">
      <alignment horizontal="right"/>
    </xf>
    <xf numFmtId="0" fontId="17" fillId="2" borderId="9" xfId="0" applyFont="1" applyFill="1" applyBorder="1" applyAlignment="1">
      <alignment horizontal="center"/>
    </xf>
    <xf numFmtId="0" fontId="17" fillId="2" borderId="10" xfId="0" applyFont="1" applyFill="1" applyBorder="1" applyAlignment="1">
      <alignment horizontal="center"/>
    </xf>
    <xf numFmtId="0" fontId="18" fillId="0" borderId="22" xfId="0" applyFont="1" applyBorder="1" applyAlignment="1">
      <alignment horizontal="right" indent="1"/>
    </xf>
    <xf numFmtId="0" fontId="18" fillId="0" borderId="24" xfId="0" applyFont="1" applyBorder="1" applyAlignment="1">
      <alignment horizontal="right" indent="1"/>
    </xf>
    <xf numFmtId="0" fontId="17" fillId="0" borderId="43" xfId="0" applyFont="1" applyBorder="1"/>
    <xf numFmtId="173" fontId="17" fillId="0" borderId="0" xfId="0" applyNumberFormat="1" applyFont="1" applyAlignment="1">
      <alignment horizontal="right" indent="1"/>
    </xf>
    <xf numFmtId="174" fontId="4" fillId="3" borderId="3" xfId="0" applyNumberFormat="1" applyFont="1" applyFill="1" applyBorder="1"/>
    <xf numFmtId="174" fontId="4" fillId="3" borderId="8" xfId="0" applyNumberFormat="1" applyFont="1" applyFill="1" applyBorder="1"/>
    <xf numFmtId="174" fontId="4" fillId="3" borderId="10" xfId="0" applyNumberFormat="1" applyFont="1" applyFill="1" applyBorder="1"/>
    <xf numFmtId="174" fontId="8" fillId="0" borderId="1" xfId="0" applyNumberFormat="1" applyFont="1" applyBorder="1" applyAlignment="1">
      <alignment horizontal="right" indent="1"/>
    </xf>
    <xf numFmtId="174" fontId="8" fillId="0" borderId="15" xfId="0" applyNumberFormat="1" applyFont="1" applyBorder="1" applyAlignment="1">
      <alignment horizontal="right" indent="1"/>
    </xf>
    <xf numFmtId="174" fontId="8" fillId="0" borderId="19" xfId="0" applyNumberFormat="1" applyFont="1" applyBorder="1" applyAlignment="1">
      <alignment horizontal="right" indent="1"/>
    </xf>
    <xf numFmtId="174" fontId="8" fillId="0" borderId="9" xfId="0" applyNumberFormat="1" applyFont="1" applyBorder="1" applyAlignment="1">
      <alignment horizontal="right" indent="1"/>
    </xf>
    <xf numFmtId="174" fontId="8" fillId="0" borderId="5" xfId="0" applyNumberFormat="1" applyFont="1" applyBorder="1" applyAlignment="1">
      <alignment horizontal="right" indent="1"/>
    </xf>
    <xf numFmtId="174" fontId="8" fillId="0" borderId="16" xfId="0" applyNumberFormat="1" applyFont="1" applyBorder="1" applyAlignment="1">
      <alignment horizontal="right" indent="1"/>
    </xf>
    <xf numFmtId="174" fontId="8" fillId="0" borderId="20" xfId="0" applyNumberFormat="1" applyFont="1" applyBorder="1" applyAlignment="1">
      <alignment horizontal="right" indent="1"/>
    </xf>
    <xf numFmtId="174" fontId="8" fillId="0" borderId="11" xfId="0" applyNumberFormat="1" applyFont="1" applyBorder="1" applyAlignment="1">
      <alignment horizontal="right" indent="1"/>
    </xf>
    <xf numFmtId="174" fontId="8" fillId="0" borderId="12" xfId="0" applyNumberFormat="1" applyFont="1" applyBorder="1" applyAlignment="1">
      <alignment horizontal="right" indent="1"/>
    </xf>
    <xf numFmtId="174" fontId="8" fillId="0" borderId="17" xfId="0" applyNumberFormat="1" applyFont="1" applyBorder="1" applyAlignment="1">
      <alignment horizontal="right" indent="1"/>
    </xf>
    <xf numFmtId="174" fontId="8" fillId="0" borderId="25" xfId="0" applyNumberFormat="1" applyFont="1" applyBorder="1" applyAlignment="1">
      <alignment horizontal="right" indent="1"/>
    </xf>
    <xf numFmtId="174" fontId="8" fillId="0" borderId="14" xfId="0" applyNumberFormat="1" applyFont="1" applyBorder="1" applyAlignment="1">
      <alignment horizontal="right" indent="1"/>
    </xf>
    <xf numFmtId="174" fontId="4" fillId="0" borderId="5" xfId="0" applyNumberFormat="1" applyFont="1" applyBorder="1" applyAlignment="1">
      <alignment horizontal="right" indent="1"/>
    </xf>
    <xf numFmtId="174" fontId="4" fillId="0" borderId="16" xfId="0" applyNumberFormat="1" applyFont="1" applyBorder="1" applyAlignment="1">
      <alignment horizontal="right" indent="1"/>
    </xf>
    <xf numFmtId="174" fontId="4" fillId="0" borderId="20" xfId="0" applyNumberFormat="1" applyFont="1" applyBorder="1" applyAlignment="1">
      <alignment horizontal="right" indent="1"/>
    </xf>
    <xf numFmtId="174" fontId="4" fillId="0" borderId="11" xfId="0" applyNumberFormat="1" applyFont="1" applyBorder="1" applyAlignment="1">
      <alignment horizontal="right" indent="1"/>
    </xf>
    <xf numFmtId="174" fontId="4" fillId="0" borderId="3" xfId="0" applyNumberFormat="1" applyFont="1" applyBorder="1" applyAlignment="1">
      <alignment horizontal="right" indent="1"/>
    </xf>
    <xf numFmtId="174" fontId="4" fillId="0" borderId="18" xfId="0" applyNumberFormat="1" applyFont="1" applyBorder="1" applyAlignment="1">
      <alignment horizontal="right" indent="1"/>
    </xf>
    <xf numFmtId="174" fontId="4" fillId="0" borderId="21" xfId="0" applyNumberFormat="1" applyFont="1" applyBorder="1" applyAlignment="1">
      <alignment horizontal="right" indent="1"/>
    </xf>
    <xf numFmtId="174" fontId="4" fillId="0" borderId="10" xfId="0" applyNumberFormat="1" applyFont="1" applyBorder="1" applyAlignment="1">
      <alignment horizontal="right" indent="1"/>
    </xf>
    <xf numFmtId="2" fontId="8" fillId="0" borderId="2" xfId="0" applyNumberFormat="1" applyFont="1" applyBorder="1" applyAlignment="1">
      <alignment horizontal="right" indent="1"/>
    </xf>
    <xf numFmtId="2" fontId="8" fillId="0" borderId="0" xfId="0" applyNumberFormat="1" applyFont="1" applyBorder="1" applyAlignment="1">
      <alignment horizontal="right" indent="1"/>
    </xf>
    <xf numFmtId="2" fontId="8" fillId="0" borderId="13" xfId="0" applyNumberFormat="1" applyFont="1" applyBorder="1" applyAlignment="1">
      <alignment horizontal="right" indent="1"/>
    </xf>
    <xf numFmtId="2" fontId="4" fillId="0" borderId="0" xfId="0" applyNumberFormat="1" applyFont="1" applyBorder="1" applyAlignment="1">
      <alignment horizontal="right" indent="1"/>
    </xf>
    <xf numFmtId="2" fontId="4" fillId="0" borderId="4" xfId="0" applyNumberFormat="1" applyFont="1" applyBorder="1" applyAlignment="1">
      <alignment horizontal="right" indent="1"/>
    </xf>
    <xf numFmtId="175" fontId="17" fillId="0" borderId="0" xfId="0" applyNumberFormat="1" applyFont="1"/>
    <xf numFmtId="2" fontId="22" fillId="4" borderId="15" xfId="0" applyNumberFormat="1" applyFont="1" applyFill="1" applyBorder="1" applyAlignment="1">
      <alignment horizontal="right" indent="1"/>
    </xf>
    <xf numFmtId="2" fontId="22" fillId="4" borderId="16" xfId="0" applyNumberFormat="1" applyFont="1" applyFill="1" applyBorder="1" applyAlignment="1">
      <alignment horizontal="right" indent="1"/>
    </xf>
    <xf numFmtId="2" fontId="22" fillId="4" borderId="17" xfId="0" applyNumberFormat="1" applyFont="1" applyFill="1" applyBorder="1" applyAlignment="1">
      <alignment horizontal="right" indent="1"/>
    </xf>
    <xf numFmtId="2" fontId="13" fillId="4" borderId="16" xfId="0" applyNumberFormat="1" applyFont="1" applyFill="1" applyBorder="1" applyAlignment="1">
      <alignment horizontal="right" indent="1"/>
    </xf>
    <xf numFmtId="2" fontId="13" fillId="4" borderId="18" xfId="0" applyNumberFormat="1" applyFont="1" applyFill="1" applyBorder="1" applyAlignment="1">
      <alignment horizontal="right" indent="1"/>
    </xf>
    <xf numFmtId="0" fontId="17" fillId="0" borderId="2" xfId="0" applyFont="1" applyBorder="1"/>
    <xf numFmtId="0" fontId="18" fillId="0" borderId="22" xfId="0" applyFont="1" applyBorder="1"/>
    <xf numFmtId="0" fontId="7" fillId="0" borderId="0" xfId="0" applyFont="1"/>
    <xf numFmtId="0" fontId="18" fillId="0" borderId="24" xfId="0" applyFont="1" applyBorder="1"/>
    <xf numFmtId="0" fontId="18" fillId="0" borderId="24" xfId="0" applyFont="1" applyBorder="1" applyAlignment="1">
      <alignment horizontal="right"/>
    </xf>
    <xf numFmtId="0" fontId="17" fillId="0" borderId="44" xfId="0" applyFont="1" applyBorder="1"/>
    <xf numFmtId="0" fontId="17" fillId="0" borderId="46" xfId="0" applyFont="1" applyBorder="1"/>
    <xf numFmtId="0" fontId="17" fillId="0" borderId="48" xfId="0" applyFont="1" applyBorder="1"/>
    <xf numFmtId="0" fontId="17" fillId="0" borderId="49" xfId="0" applyFont="1" applyBorder="1"/>
    <xf numFmtId="164" fontId="17" fillId="0" borderId="49" xfId="2" applyFont="1" applyBorder="1" applyAlignment="1">
      <alignment horizontal="right"/>
    </xf>
    <xf numFmtId="0" fontId="17" fillId="0" borderId="41" xfId="0" applyFont="1" applyBorder="1"/>
    <xf numFmtId="176" fontId="17" fillId="0" borderId="2" xfId="0" applyNumberFormat="1" applyFont="1" applyBorder="1" applyAlignment="1">
      <alignment horizontal="right"/>
    </xf>
    <xf numFmtId="0" fontId="17" fillId="0" borderId="42" xfId="0" applyFont="1" applyBorder="1"/>
    <xf numFmtId="176" fontId="17" fillId="0" borderId="0" xfId="0" applyNumberFormat="1" applyFont="1" applyBorder="1" applyAlignment="1">
      <alignment horizontal="right"/>
    </xf>
    <xf numFmtId="0" fontId="17" fillId="0" borderId="55" xfId="0" applyFont="1" applyBorder="1"/>
    <xf numFmtId="0" fontId="17" fillId="0" borderId="39" xfId="0" applyFont="1" applyBorder="1"/>
    <xf numFmtId="176" fontId="17" fillId="0" borderId="39" xfId="0" applyNumberFormat="1" applyFont="1" applyBorder="1" applyAlignment="1">
      <alignment horizontal="right"/>
    </xf>
    <xf numFmtId="0" fontId="17" fillId="0" borderId="57" xfId="0" applyFont="1" applyBorder="1"/>
    <xf numFmtId="0" fontId="17" fillId="0" borderId="60" xfId="0" applyFont="1" applyBorder="1"/>
    <xf numFmtId="169" fontId="18" fillId="0" borderId="0" xfId="0" applyNumberFormat="1" applyFont="1" applyBorder="1" applyAlignment="1">
      <alignment horizontal="right"/>
    </xf>
    <xf numFmtId="169" fontId="17" fillId="0" borderId="0" xfId="0" applyNumberFormat="1" applyFont="1" applyBorder="1" applyAlignment="1">
      <alignment horizontal="right"/>
    </xf>
    <xf numFmtId="177" fontId="17" fillId="2" borderId="1" xfId="2" applyNumberFormat="1" applyFont="1" applyFill="1" applyBorder="1" applyAlignment="1">
      <alignment horizontal="right" indent="1"/>
    </xf>
    <xf numFmtId="177" fontId="17" fillId="2" borderId="2" xfId="2" applyNumberFormat="1" applyFont="1" applyFill="1" applyBorder="1" applyAlignment="1">
      <alignment horizontal="right" indent="1"/>
    </xf>
    <xf numFmtId="177" fontId="17" fillId="2" borderId="3" xfId="2" applyNumberFormat="1" applyFont="1" applyFill="1" applyBorder="1" applyAlignment="1">
      <alignment horizontal="right" indent="1"/>
    </xf>
    <xf numFmtId="177" fontId="17" fillId="2" borderId="4" xfId="2" applyNumberFormat="1" applyFont="1" applyFill="1" applyBorder="1" applyAlignment="1">
      <alignment horizontal="right" indent="1"/>
    </xf>
    <xf numFmtId="0" fontId="24" fillId="0" borderId="57" xfId="0" applyFont="1" applyBorder="1"/>
    <xf numFmtId="0" fontId="24" fillId="0" borderId="0" xfId="0" applyFont="1" applyBorder="1"/>
    <xf numFmtId="176" fontId="24" fillId="0" borderId="0" xfId="0" applyNumberFormat="1" applyFont="1" applyBorder="1" applyAlignment="1">
      <alignment horizontal="right"/>
    </xf>
    <xf numFmtId="0" fontId="24" fillId="0" borderId="59" xfId="0" applyFont="1" applyBorder="1"/>
    <xf numFmtId="0" fontId="24" fillId="0" borderId="60" xfId="0" applyFont="1" applyBorder="1"/>
    <xf numFmtId="176" fontId="24" fillId="0" borderId="60" xfId="0" applyNumberFormat="1" applyFont="1" applyBorder="1" applyAlignment="1">
      <alignment horizontal="right"/>
    </xf>
    <xf numFmtId="0" fontId="24" fillId="0" borderId="53" xfId="0" applyFont="1" applyBorder="1"/>
    <xf numFmtId="0" fontId="24" fillId="0" borderId="13" xfId="0" applyFont="1" applyBorder="1"/>
    <xf numFmtId="176" fontId="24" fillId="0" borderId="13" xfId="0" applyNumberFormat="1" applyFont="1" applyBorder="1" applyAlignment="1">
      <alignment horizontal="right"/>
    </xf>
    <xf numFmtId="0" fontId="17" fillId="0" borderId="62" xfId="0" applyFont="1" applyBorder="1"/>
    <xf numFmtId="0" fontId="17" fillId="0" borderId="63" xfId="0" applyFont="1" applyBorder="1"/>
    <xf numFmtId="0" fontId="17" fillId="2" borderId="63" xfId="0" applyFont="1" applyFill="1" applyBorder="1"/>
    <xf numFmtId="0" fontId="17" fillId="2" borderId="0" xfId="0" applyFont="1" applyFill="1" applyBorder="1"/>
    <xf numFmtId="0" fontId="17" fillId="2" borderId="68" xfId="0" applyFont="1" applyFill="1" applyBorder="1"/>
    <xf numFmtId="0" fontId="18" fillId="2" borderId="62" xfId="0" applyFont="1" applyFill="1" applyBorder="1"/>
    <xf numFmtId="0" fontId="18" fillId="2" borderId="65" xfId="0" applyFont="1" applyFill="1" applyBorder="1"/>
    <xf numFmtId="0" fontId="18" fillId="2" borderId="67" xfId="0" applyFont="1" applyFill="1" applyBorder="1"/>
    <xf numFmtId="176" fontId="17" fillId="0" borderId="0" xfId="0" applyNumberFormat="1" applyFont="1"/>
    <xf numFmtId="178" fontId="17" fillId="0" borderId="0" xfId="0" applyNumberFormat="1" applyFont="1"/>
    <xf numFmtId="0" fontId="18" fillId="0" borderId="5" xfId="0" applyFont="1" applyBorder="1" applyAlignment="1">
      <alignment horizontal="right"/>
    </xf>
    <xf numFmtId="0" fontId="17" fillId="0" borderId="3" xfId="0" applyFont="1" applyBorder="1" applyAlignment="1">
      <alignment horizontal="right"/>
    </xf>
    <xf numFmtId="168" fontId="18" fillId="0" borderId="9" xfId="0" applyNumberFormat="1" applyFont="1" applyBorder="1" applyAlignment="1">
      <alignment horizontal="right"/>
    </xf>
    <xf numFmtId="168" fontId="17" fillId="0" borderId="10" xfId="0" applyNumberFormat="1" applyFont="1" applyBorder="1" applyAlignment="1">
      <alignment horizontal="right"/>
    </xf>
    <xf numFmtId="168" fontId="17" fillId="0" borderId="0" xfId="0" applyNumberFormat="1" applyFont="1" applyAlignment="1">
      <alignment horizontal="right"/>
    </xf>
    <xf numFmtId="168" fontId="18" fillId="0" borderId="9" xfId="0" applyNumberFormat="1" applyFont="1" applyBorder="1"/>
    <xf numFmtId="168" fontId="17" fillId="0" borderId="10" xfId="0" applyNumberFormat="1" applyFont="1" applyBorder="1"/>
    <xf numFmtId="168" fontId="17" fillId="0" borderId="0" xfId="0" applyNumberFormat="1" applyFont="1"/>
    <xf numFmtId="0" fontId="17" fillId="0" borderId="1" xfId="0" applyFont="1" applyBorder="1" applyAlignment="1">
      <alignment horizontal="right"/>
    </xf>
    <xf numFmtId="2" fontId="17" fillId="0" borderId="63" xfId="0" applyNumberFormat="1" applyFont="1" applyBorder="1"/>
    <xf numFmtId="0" fontId="17" fillId="0" borderId="70" xfId="0" applyFont="1" applyBorder="1"/>
    <xf numFmtId="178" fontId="17" fillId="0" borderId="60" xfId="2" applyNumberFormat="1" applyFont="1" applyBorder="1"/>
    <xf numFmtId="0" fontId="18" fillId="0" borderId="23" xfId="0" applyFont="1" applyBorder="1" applyAlignment="1">
      <alignment horizontal="left" indent="1"/>
    </xf>
    <xf numFmtId="0" fontId="21" fillId="0" borderId="45" xfId="0" applyFont="1" applyBorder="1" applyAlignment="1">
      <alignment horizontal="left" indent="1"/>
    </xf>
    <xf numFmtId="0" fontId="21" fillId="0" borderId="47" xfId="0" applyFont="1" applyBorder="1" applyAlignment="1">
      <alignment horizontal="left" indent="1"/>
    </xf>
    <xf numFmtId="0" fontId="25" fillId="0" borderId="47" xfId="0" applyFont="1" applyBorder="1" applyAlignment="1">
      <alignment horizontal="left" indent="1"/>
    </xf>
    <xf numFmtId="0" fontId="25" fillId="0" borderId="50" xfId="0" applyFont="1" applyBorder="1" applyAlignment="1">
      <alignment horizontal="left" indent="1"/>
    </xf>
    <xf numFmtId="0" fontId="21" fillId="0" borderId="51" xfId="0" applyFont="1" applyBorder="1" applyAlignment="1">
      <alignment horizontal="left" indent="1"/>
    </xf>
    <xf numFmtId="0" fontId="21" fillId="0" borderId="52" xfId="0" applyFont="1" applyBorder="1" applyAlignment="1">
      <alignment horizontal="left" indent="1"/>
    </xf>
    <xf numFmtId="0" fontId="21" fillId="0" borderId="54" xfId="0" applyFont="1" applyBorder="1" applyAlignment="1">
      <alignment horizontal="left" indent="1"/>
    </xf>
    <xf numFmtId="0" fontId="25" fillId="0" borderId="56" xfId="0" applyFont="1" applyBorder="1" applyAlignment="1">
      <alignment horizontal="left" indent="1"/>
    </xf>
    <xf numFmtId="0" fontId="25" fillId="0" borderId="58" xfId="0" applyFont="1" applyBorder="1" applyAlignment="1">
      <alignment horizontal="left" indent="1"/>
    </xf>
    <xf numFmtId="0" fontId="25" fillId="0" borderId="61" xfId="0" applyFont="1" applyBorder="1" applyAlignment="1">
      <alignment horizontal="left" indent="1"/>
    </xf>
    <xf numFmtId="0" fontId="25" fillId="0" borderId="64" xfId="0" applyFont="1" applyBorder="1" applyAlignment="1">
      <alignment horizontal="left" indent="1"/>
    </xf>
    <xf numFmtId="0" fontId="17" fillId="0" borderId="71" xfId="0" applyFont="1" applyBorder="1" applyAlignment="1">
      <alignment horizontal="left" indent="1"/>
    </xf>
    <xf numFmtId="0" fontId="21" fillId="2" borderId="64" xfId="0" applyFont="1" applyFill="1" applyBorder="1" applyAlignment="1">
      <alignment horizontal="left" indent="1"/>
    </xf>
    <xf numFmtId="0" fontId="21" fillId="2" borderId="66" xfId="0" applyFont="1" applyFill="1" applyBorder="1" applyAlignment="1">
      <alignment horizontal="left" indent="1"/>
    </xf>
    <xf numFmtId="0" fontId="21" fillId="2" borderId="69" xfId="0" applyFont="1" applyFill="1" applyBorder="1" applyAlignment="1">
      <alignment horizontal="left" indent="1"/>
    </xf>
    <xf numFmtId="177" fontId="17" fillId="0" borderId="0" xfId="0" applyNumberFormat="1" applyFont="1" applyAlignment="1">
      <alignment horizontal="left" indent="1"/>
    </xf>
    <xf numFmtId="2" fontId="13" fillId="2" borderId="2" xfId="0" applyNumberFormat="1" applyFont="1" applyFill="1" applyBorder="1" applyAlignment="1">
      <alignment horizontal="right" vertical="center" indent="1"/>
    </xf>
    <xf numFmtId="2" fontId="13" fillId="2" borderId="0" xfId="0" applyNumberFormat="1" applyFont="1" applyFill="1" applyBorder="1" applyAlignment="1">
      <alignment horizontal="right" vertical="center" indent="1"/>
    </xf>
    <xf numFmtId="2" fontId="13" fillId="2" borderId="4" xfId="0" applyNumberFormat="1" applyFont="1" applyFill="1" applyBorder="1" applyAlignment="1">
      <alignment horizontal="right" vertical="center" indent="1"/>
    </xf>
    <xf numFmtId="167" fontId="13" fillId="2" borderId="2" xfId="0" applyNumberFormat="1" applyFont="1" applyFill="1" applyBorder="1" applyAlignment="1">
      <alignment horizontal="right" vertical="center" indent="1"/>
    </xf>
    <xf numFmtId="167" fontId="13" fillId="2" borderId="0" xfId="0" applyNumberFormat="1" applyFont="1" applyFill="1" applyBorder="1" applyAlignment="1">
      <alignment horizontal="right" vertical="center" indent="1"/>
    </xf>
    <xf numFmtId="167" fontId="13" fillId="2" borderId="4" xfId="0" applyNumberFormat="1" applyFont="1" applyFill="1" applyBorder="1" applyAlignment="1">
      <alignment horizontal="right" vertical="center" indent="1"/>
    </xf>
    <xf numFmtId="0" fontId="13" fillId="5" borderId="1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5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right" vertical="center" indent="1"/>
    </xf>
    <xf numFmtId="0" fontId="10" fillId="2" borderId="11" xfId="0" applyFont="1" applyFill="1" applyBorder="1" applyAlignment="1">
      <alignment horizontal="right" vertical="center" indent="1"/>
    </xf>
    <xf numFmtId="0" fontId="10" fillId="2" borderId="10" xfId="0" applyFont="1" applyFill="1" applyBorder="1" applyAlignment="1">
      <alignment horizontal="right" vertical="center" indent="1"/>
    </xf>
    <xf numFmtId="0" fontId="6" fillId="2" borderId="1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166" fontId="13" fillId="2" borderId="2" xfId="0" applyNumberFormat="1" applyFont="1" applyFill="1" applyBorder="1" applyAlignment="1">
      <alignment horizontal="right" vertical="center" indent="1"/>
    </xf>
    <xf numFmtId="0" fontId="13" fillId="2" borderId="0" xfId="0" applyFont="1" applyFill="1" applyBorder="1" applyAlignment="1">
      <alignment horizontal="right" vertical="center" indent="1"/>
    </xf>
    <xf numFmtId="0" fontId="13" fillId="2" borderId="4" xfId="0" applyFont="1" applyFill="1" applyBorder="1" applyAlignment="1">
      <alignment horizontal="right" vertical="center" indent="1"/>
    </xf>
    <xf numFmtId="0" fontId="4" fillId="7" borderId="40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40" xfId="0" applyFont="1" applyFill="1" applyBorder="1" applyAlignment="1">
      <alignment horizontal="left" vertical="center"/>
    </xf>
    <xf numFmtId="0" fontId="4" fillId="7" borderId="14" xfId="0" applyFont="1" applyFill="1" applyBorder="1" applyAlignment="1">
      <alignment horizontal="left" vertical="center"/>
    </xf>
    <xf numFmtId="0" fontId="4" fillId="7" borderId="38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171" fontId="4" fillId="7" borderId="39" xfId="0" applyNumberFormat="1" applyFont="1" applyFill="1" applyBorder="1" applyAlignment="1">
      <alignment horizontal="right" vertical="center" indent="1"/>
    </xf>
    <xf numFmtId="171" fontId="4" fillId="7" borderId="13" xfId="0" applyNumberFormat="1" applyFont="1" applyFill="1" applyBorder="1" applyAlignment="1">
      <alignment horizontal="right" vertical="center" indent="1"/>
    </xf>
    <xf numFmtId="171" fontId="17" fillId="7" borderId="39" xfId="0" applyNumberFormat="1" applyFont="1" applyFill="1" applyBorder="1" applyAlignment="1">
      <alignment horizontal="right" vertical="center" indent="1"/>
    </xf>
    <xf numFmtId="171" fontId="17" fillId="7" borderId="13" xfId="0" applyNumberFormat="1" applyFont="1" applyFill="1" applyBorder="1" applyAlignment="1">
      <alignment horizontal="right" vertical="center" indent="1"/>
    </xf>
    <xf numFmtId="0" fontId="19" fillId="5" borderId="22" xfId="0" applyFont="1" applyFill="1" applyBorder="1" applyAlignment="1">
      <alignment horizontal="center"/>
    </xf>
    <xf numFmtId="0" fontId="19" fillId="5" borderId="24" xfId="0" applyFont="1" applyFill="1" applyBorder="1" applyAlignment="1">
      <alignment horizontal="center"/>
    </xf>
    <xf numFmtId="0" fontId="19" fillId="5" borderId="23" xfId="0" applyFont="1" applyFill="1" applyBorder="1" applyAlignment="1">
      <alignment horizontal="center"/>
    </xf>
    <xf numFmtId="168" fontId="18" fillId="2" borderId="9" xfId="0" applyNumberFormat="1" applyFont="1" applyFill="1" applyBorder="1" applyAlignment="1">
      <alignment horizontal="right"/>
    </xf>
    <xf numFmtId="0" fontId="17" fillId="2" borderId="2" xfId="0" applyFont="1" applyFill="1" applyBorder="1"/>
    <xf numFmtId="0" fontId="17" fillId="2" borderId="5" xfId="0" applyFont="1" applyFill="1" applyBorder="1"/>
    <xf numFmtId="168" fontId="17" fillId="2" borderId="11" xfId="0" applyNumberFormat="1" applyFont="1" applyFill="1" applyBorder="1" applyAlignment="1">
      <alignment horizontal="right"/>
    </xf>
    <xf numFmtId="182" fontId="17" fillId="0" borderId="1" xfId="2" applyNumberFormat="1" applyFont="1" applyBorder="1"/>
    <xf numFmtId="182" fontId="17" fillId="0" borderId="2" xfId="2" applyNumberFormat="1" applyFont="1" applyBorder="1"/>
    <xf numFmtId="182" fontId="17" fillId="0" borderId="9" xfId="2" applyNumberFormat="1" applyFont="1" applyBorder="1"/>
    <xf numFmtId="182" fontId="17" fillId="0" borderId="3" xfId="2" applyNumberFormat="1" applyFont="1" applyBorder="1"/>
    <xf numFmtId="182" fontId="17" fillId="0" borderId="4" xfId="2" applyNumberFormat="1" applyFont="1" applyBorder="1"/>
    <xf numFmtId="182" fontId="17" fillId="0" borderId="10" xfId="2" applyNumberFormat="1" applyFont="1" applyBorder="1"/>
    <xf numFmtId="178" fontId="26" fillId="2" borderId="63" xfId="2" applyNumberFormat="1" applyFont="1" applyFill="1" applyBorder="1" applyAlignment="1">
      <alignment horizontal="right"/>
    </xf>
    <xf numFmtId="179" fontId="26" fillId="2" borderId="0" xfId="2" applyNumberFormat="1" applyFont="1" applyFill="1" applyBorder="1" applyAlignment="1">
      <alignment horizontal="right"/>
    </xf>
    <xf numFmtId="177" fontId="26" fillId="2" borderId="68" xfId="2" applyNumberFormat="1" applyFont="1" applyFill="1" applyBorder="1" applyAlignment="1">
      <alignment horizontal="right"/>
    </xf>
    <xf numFmtId="0" fontId="17" fillId="0" borderId="72" xfId="0" applyFont="1" applyBorder="1"/>
    <xf numFmtId="0" fontId="17" fillId="0" borderId="73" xfId="0" applyFont="1" applyBorder="1"/>
    <xf numFmtId="0" fontId="25" fillId="0" borderId="74" xfId="0" applyFont="1" applyBorder="1" applyAlignment="1">
      <alignment horizontal="left" indent="1"/>
    </xf>
    <xf numFmtId="177" fontId="18" fillId="0" borderId="2" xfId="2" applyNumberFormat="1" applyFont="1" applyBorder="1" applyAlignment="1">
      <alignment horizontal="right"/>
    </xf>
    <xf numFmtId="177" fontId="18" fillId="0" borderId="0" xfId="2" applyNumberFormat="1" applyFont="1" applyBorder="1" applyAlignment="1">
      <alignment horizontal="right"/>
    </xf>
    <xf numFmtId="178" fontId="18" fillId="0" borderId="0" xfId="2" applyNumberFormat="1" applyFont="1" applyBorder="1" applyAlignment="1">
      <alignment horizontal="right"/>
    </xf>
    <xf numFmtId="164" fontId="18" fillId="0" borderId="73" xfId="2" applyFont="1" applyBorder="1" applyAlignment="1">
      <alignment horizontal="right"/>
    </xf>
    <xf numFmtId="164" fontId="18" fillId="0" borderId="0" xfId="2" applyFont="1" applyBorder="1" applyAlignment="1">
      <alignment horizontal="right"/>
    </xf>
    <xf numFmtId="0" fontId="27" fillId="0" borderId="24" xfId="0" applyFont="1" applyBorder="1"/>
    <xf numFmtId="0" fontId="27" fillId="0" borderId="23" xfId="0" applyFont="1" applyBorder="1"/>
    <xf numFmtId="0" fontId="0" fillId="0" borderId="0" xfId="0" applyBorder="1"/>
    <xf numFmtId="0" fontId="0" fillId="0" borderId="22" xfId="0" applyBorder="1"/>
    <xf numFmtId="0" fontId="0" fillId="0" borderId="1" xfId="0" applyBorder="1"/>
    <xf numFmtId="0" fontId="0" fillId="0" borderId="2" xfId="0" applyBorder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0" fillId="0" borderId="3" xfId="0" applyBorder="1"/>
    <xf numFmtId="0" fontId="0" fillId="0" borderId="4" xfId="0" applyBorder="1"/>
    <xf numFmtId="0" fontId="0" fillId="0" borderId="10" xfId="0" applyBorder="1"/>
  </cellXfs>
  <cellStyles count="3">
    <cellStyle name="Comma" xfId="2" builtinId="3"/>
    <cellStyle name="Normal" xfId="0" builtinId="0"/>
    <cellStyle name="Normal 26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119985001874765"/>
          <c:w val="0.84530568430719188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4A-4DAA-B786-96DE8B37459F}"/>
            </c:ext>
          </c:extLst>
        </c:ser>
        <c:ser>
          <c:idx val="0"/>
          <c:order val="2"/>
          <c:tx>
            <c:v>Tpr: 2.04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Properties'!$AN$10:$AN$29</c:f>
              <c:numCache>
                <c:formatCode>0.0000;0;0</c:formatCode>
                <c:ptCount val="20"/>
                <c:pt idx="0">
                  <c:v>0.99470999999999998</c:v>
                </c:pt>
                <c:pt idx="1">
                  <c:v>0.95587999999999995</c:v>
                </c:pt>
                <c:pt idx="2">
                  <c:v>0.94664000000000004</c:v>
                </c:pt>
                <c:pt idx="3">
                  <c:v>0.96192999999999995</c:v>
                </c:pt>
                <c:pt idx="4">
                  <c:v>0.99460000000000004</c:v>
                </c:pt>
                <c:pt idx="5">
                  <c:v>1.0386200000000001</c:v>
                </c:pt>
                <c:pt idx="6">
                  <c:v>1.0898300000000001</c:v>
                </c:pt>
                <c:pt idx="7">
                  <c:v>1.1456299999999999</c:v>
                </c:pt>
                <c:pt idx="8">
                  <c:v>1.2043600000000001</c:v>
                </c:pt>
                <c:pt idx="9">
                  <c:v>1.26501</c:v>
                </c:pt>
                <c:pt idx="10">
                  <c:v>1.3269299999999999</c:v>
                </c:pt>
                <c:pt idx="11">
                  <c:v>1.3896999999999999</c:v>
                </c:pt>
                <c:pt idx="12">
                  <c:v>1.4530099999999999</c:v>
                </c:pt>
                <c:pt idx="13">
                  <c:v>1.5166999999999999</c:v>
                </c:pt>
                <c:pt idx="14">
                  <c:v>1.5806100000000001</c:v>
                </c:pt>
                <c:pt idx="15">
                  <c:v>1.64466</c:v>
                </c:pt>
                <c:pt idx="16">
                  <c:v>1.70878</c:v>
                </c:pt>
                <c:pt idx="17">
                  <c:v>1.7729200000000001</c:v>
                </c:pt>
                <c:pt idx="18">
                  <c:v>1.8370599999999999</c:v>
                </c:pt>
                <c:pt idx="19">
                  <c:v>1.90117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D6E-4F2B-9FF8-1F0ECEFA7BB0}"/>
            </c:ext>
          </c:extLst>
        </c:ser>
        <c:ser>
          <c:idx val="3"/>
          <c:order val="3"/>
          <c:tx>
            <c:v>Tpr: 2.07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Properties'!$AS$10:$AS$29</c:f>
              <c:numCache>
                <c:formatCode>0.0000;0;0</c:formatCode>
                <c:ptCount val="20"/>
                <c:pt idx="0">
                  <c:v>0.99497999999999998</c:v>
                </c:pt>
                <c:pt idx="1">
                  <c:v>0.95845999999999998</c:v>
                </c:pt>
                <c:pt idx="2">
                  <c:v>0.95043999999999995</c:v>
                </c:pt>
                <c:pt idx="3">
                  <c:v>0.96594000000000002</c:v>
                </c:pt>
                <c:pt idx="4">
                  <c:v>0.99819000000000002</c:v>
                </c:pt>
                <c:pt idx="5">
                  <c:v>1.0414600000000001</c:v>
                </c:pt>
                <c:pt idx="6">
                  <c:v>1.0918000000000001</c:v>
                </c:pt>
                <c:pt idx="7">
                  <c:v>1.14666</c:v>
                </c:pt>
                <c:pt idx="8">
                  <c:v>1.20445</c:v>
                </c:pt>
                <c:pt idx="9">
                  <c:v>1.2641800000000001</c:v>
                </c:pt>
                <c:pt idx="10">
                  <c:v>1.3251900000000001</c:v>
                </c:pt>
                <c:pt idx="11">
                  <c:v>1.38706</c:v>
                </c:pt>
                <c:pt idx="12">
                  <c:v>1.4495</c:v>
                </c:pt>
                <c:pt idx="13">
                  <c:v>1.51233</c:v>
                </c:pt>
                <c:pt idx="14">
                  <c:v>1.5753999999999999</c:v>
                </c:pt>
                <c:pt idx="15">
                  <c:v>1.63862</c:v>
                </c:pt>
                <c:pt idx="16">
                  <c:v>1.7019200000000001</c:v>
                </c:pt>
                <c:pt idx="17">
                  <c:v>1.7652600000000001</c:v>
                </c:pt>
                <c:pt idx="18">
                  <c:v>1.8286</c:v>
                </c:pt>
                <c:pt idx="19">
                  <c:v>1.89192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D6E-4F2B-9FF8-1F0ECEFA7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94A-4DAA-B786-96DE8B374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ax val="1.90117"/>
          <c:min val="0.94664000000000004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1.90117"/>
          <c:min val="0.94664000000000004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Viscosity, cp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0.13119985001874765"/>
          <c:w val="0.82189778361038213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DCA-414B-8F09-66F37B8DE2A6}"/>
            </c:ext>
          </c:extLst>
        </c:ser>
        <c:ser>
          <c:idx val="0"/>
          <c:order val="2"/>
          <c:tx>
            <c:v>Tpr: 2.04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Properties'!$AQ$10:$AQ$29</c:f>
              <c:numCache>
                <c:formatCode>0.0000;0;0</c:formatCode>
                <c:ptCount val="20"/>
                <c:pt idx="0">
                  <c:v>1.531352127374472E-2</c:v>
                </c:pt>
                <c:pt idx="1">
                  <c:v>1.645044752390349E-2</c:v>
                </c:pt>
                <c:pt idx="2">
                  <c:v>1.8296545041871875E-2</c:v>
                </c:pt>
                <c:pt idx="3">
                  <c:v>2.0603217328657358E-2</c:v>
                </c:pt>
                <c:pt idx="4">
                  <c:v>2.3189833261017742E-2</c:v>
                </c:pt>
                <c:pt idx="5">
                  <c:v>2.5924024817414307E-2</c:v>
                </c:pt>
                <c:pt idx="6">
                  <c:v>2.8720782605979555E-2</c:v>
                </c:pt>
                <c:pt idx="7">
                  <c:v>3.152790014299163E-2</c:v>
                </c:pt>
                <c:pt idx="8">
                  <c:v>3.4315366013228377E-2</c:v>
                </c:pt>
                <c:pt idx="9">
                  <c:v>3.7064756914923239E-2</c:v>
                </c:pt>
                <c:pt idx="10">
                  <c:v>3.9765277958560358E-2</c:v>
                </c:pt>
                <c:pt idx="11">
                  <c:v>4.2410672849552432E-2</c:v>
                </c:pt>
                <c:pt idx="12">
                  <c:v>4.4998757270056866E-2</c:v>
                </c:pt>
                <c:pt idx="13">
                  <c:v>4.7526664266167314E-2</c:v>
                </c:pt>
                <c:pt idx="14">
                  <c:v>4.9995331967630528E-2</c:v>
                </c:pt>
                <c:pt idx="15">
                  <c:v>5.2404596455351768E-2</c:v>
                </c:pt>
                <c:pt idx="16">
                  <c:v>5.4755543796994169E-2</c:v>
                </c:pt>
                <c:pt idx="17">
                  <c:v>5.7049710372386812E-2</c:v>
                </c:pt>
                <c:pt idx="18">
                  <c:v>5.928769457167643E-2</c:v>
                </c:pt>
                <c:pt idx="19">
                  <c:v>6.1471355132495104E-2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AE8-4962-B5A6-AFE78390A72C}"/>
            </c:ext>
          </c:extLst>
        </c:ser>
        <c:ser>
          <c:idx val="3"/>
          <c:order val="3"/>
          <c:tx>
            <c:v>Tpr: 2.07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Properties'!$AV$10:$AV$29</c:f>
              <c:numCache>
                <c:formatCode>0.0000;0;0</c:formatCode>
                <c:ptCount val="20"/>
                <c:pt idx="0">
                  <c:v>1.5472050461694193E-2</c:v>
                </c:pt>
                <c:pt idx="1">
                  <c:v>1.6583929011634874E-2</c:v>
                </c:pt>
                <c:pt idx="2">
                  <c:v>1.8385087399623135E-2</c:v>
                </c:pt>
                <c:pt idx="3">
                  <c:v>2.0633217430351895E-2</c:v>
                </c:pt>
                <c:pt idx="4">
                  <c:v>2.3156197741283996E-2</c:v>
                </c:pt>
                <c:pt idx="5">
                  <c:v>2.5827831053273947E-2</c:v>
                </c:pt>
                <c:pt idx="6">
                  <c:v>2.8565463942448112E-2</c:v>
                </c:pt>
                <c:pt idx="7">
                  <c:v>3.1318646732542102E-2</c:v>
                </c:pt>
                <c:pt idx="8">
                  <c:v>3.4056796926828732E-2</c:v>
                </c:pt>
                <c:pt idx="9">
                  <c:v>3.6761022907386781E-2</c:v>
                </c:pt>
                <c:pt idx="10">
                  <c:v>3.9420646568734695E-2</c:v>
                </c:pt>
                <c:pt idx="11">
                  <c:v>4.202914394493467E-2</c:v>
                </c:pt>
                <c:pt idx="12">
                  <c:v>4.4583095477300543E-2</c:v>
                </c:pt>
                <c:pt idx="13">
                  <c:v>4.7080092896629899E-2</c:v>
                </c:pt>
                <c:pt idx="14">
                  <c:v>4.9520223494799454E-2</c:v>
                </c:pt>
                <c:pt idx="15">
                  <c:v>5.1903471730328457E-2</c:v>
                </c:pt>
                <c:pt idx="16">
                  <c:v>5.4230632645973033E-2</c:v>
                </c:pt>
                <c:pt idx="17">
                  <c:v>5.650240789671216E-2</c:v>
                </c:pt>
                <c:pt idx="18">
                  <c:v>5.8720272685743688E-2</c:v>
                </c:pt>
                <c:pt idx="19">
                  <c:v>6.0885313898507105E-2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AE8-4962-B5A6-AFE78390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30112"/>
        <c:axId val="58680934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DCA-414B-8F09-66F37B8D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0496"/>
        <c:axId val="586809920"/>
      </c:scatterChart>
      <c:valAx>
        <c:axId val="586530112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809344"/>
        <c:crossesAt val="0"/>
        <c:crossBetween val="midCat"/>
      </c:valAx>
      <c:valAx>
        <c:axId val="586809344"/>
        <c:scaling>
          <c:orientation val="minMax"/>
          <c:max val="6.1471355132495104E-2"/>
          <c:min val="1.531352127374472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30112"/>
        <c:crossesAt val="0"/>
        <c:crossBetween val="midCat"/>
      </c:valAx>
      <c:valAx>
        <c:axId val="586809920"/>
        <c:scaling>
          <c:orientation val="minMax"/>
          <c:max val="6.1471355132495104E-2"/>
          <c:min val="1.531352127374472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10496"/>
        <c:crosses val="max"/>
        <c:crossBetween val="midCat"/>
      </c:valAx>
      <c:valAx>
        <c:axId val="586810496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0992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0.13038120234970629"/>
          <c:w val="0.82479130212890051"/>
          <c:h val="0.74594738157730289"/>
        </c:manualLayout>
      </c:layout>
      <c:scatterChart>
        <c:scatterStyle val="smoothMarker"/>
        <c:varyColors val="0"/>
        <c:ser>
          <c:idx val="2"/>
          <c:order val="1"/>
          <c:tx>
            <c:v>Axis_2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037-4A12-829F-94E11D0BBDB4}"/>
            </c:ext>
          </c:extLst>
        </c:ser>
        <c:ser>
          <c:idx val="0"/>
          <c:order val="2"/>
          <c:tx>
            <c:v>Tpr: 2.04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Properties'!$AO$10:$AO$29</c:f>
              <c:numCache>
                <c:formatCode>0.0000;0;0</c:formatCode>
                <c:ptCount val="20"/>
                <c:pt idx="0">
                  <c:v>0.21543563309202757</c:v>
                </c:pt>
                <c:pt idx="1">
                  <c:v>1.8043506395729117E-2</c:v>
                </c:pt>
                <c:pt idx="2">
                  <c:v>9.3416335271252343E-3</c:v>
                </c:pt>
                <c:pt idx="3">
                  <c:v>6.4259416395695875E-3</c:v>
                </c:pt>
                <c:pt idx="4">
                  <c:v>5.0218747104817333E-3</c:v>
                </c:pt>
                <c:pt idx="5">
                  <c:v>4.214960915099159E-3</c:v>
                </c:pt>
                <c:pt idx="6">
                  <c:v>3.6971974755566047E-3</c:v>
                </c:pt>
                <c:pt idx="7">
                  <c:v>3.3387528654250948E-3</c:v>
                </c:pt>
                <c:pt idx="8">
                  <c:v>3.0763468682958391E-3</c:v>
                </c:pt>
                <c:pt idx="9">
                  <c:v>2.8760063862158548E-3</c:v>
                </c:pt>
                <c:pt idx="10">
                  <c:v>2.7179590139463877E-3</c:v>
                </c:pt>
                <c:pt idx="11">
                  <c:v>2.5899819715644976E-3</c:v>
                </c:pt>
                <c:pt idx="12">
                  <c:v>2.4840892950762231E-3</c:v>
                </c:pt>
                <c:pt idx="13">
                  <c:v>2.3949690915105581E-3</c:v>
                </c:pt>
                <c:pt idx="14">
                  <c:v>2.3188168734495215E-3</c:v>
                </c:pt>
                <c:pt idx="15">
                  <c:v>2.2529458563437421E-3</c:v>
                </c:pt>
                <c:pt idx="16">
                  <c:v>2.1953511178564333E-3</c:v>
                </c:pt>
                <c:pt idx="17">
                  <c:v>2.1445173331747212E-3</c:v>
                </c:pt>
                <c:pt idx="18">
                  <c:v>2.0993019540717678E-3</c:v>
                </c:pt>
                <c:pt idx="19">
                  <c:v>2.0587898109276576E-3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4C1-4FBE-9491-655FA6E98B1A}"/>
            </c:ext>
          </c:extLst>
        </c:ser>
        <c:ser>
          <c:idx val="3"/>
          <c:order val="3"/>
          <c:tx>
            <c:v>Tpr: 2.07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Properties'!$AT$10:$AT$29</c:f>
              <c:numCache>
                <c:formatCode>0.0000;0;0</c:formatCode>
                <c:ptCount val="20"/>
                <c:pt idx="0">
                  <c:v>0.21791912897834645</c:v>
                </c:pt>
                <c:pt idx="1">
                  <c:v>1.8295804284588123E-2</c:v>
                </c:pt>
                <c:pt idx="2">
                  <c:v>9.4846788425569269E-3</c:v>
                </c:pt>
                <c:pt idx="3">
                  <c:v>6.5253439508760665E-3</c:v>
                </c:pt>
                <c:pt idx="4">
                  <c:v>5.0967177458270865E-3</c:v>
                </c:pt>
                <c:pt idx="5">
                  <c:v>4.2740481936153563E-3</c:v>
                </c:pt>
                <c:pt idx="6">
                  <c:v>3.7455614721172256E-3</c:v>
                </c:pt>
                <c:pt idx="7">
                  <c:v>3.3793603861446107E-3</c:v>
                </c:pt>
                <c:pt idx="8">
                  <c:v>3.1111983867714451E-3</c:v>
                </c:pt>
                <c:pt idx="9">
                  <c:v>2.9064626921439965E-3</c:v>
                </c:pt>
                <c:pt idx="10">
                  <c:v>2.7449408499630222E-3</c:v>
                </c:pt>
                <c:pt idx="11">
                  <c:v>2.6141522718904032E-3</c:v>
                </c:pt>
                <c:pt idx="12">
                  <c:v>2.5059752054637889E-3</c:v>
                </c:pt>
                <c:pt idx="13">
                  <c:v>2.4149422155809691E-3</c:v>
                </c:pt>
                <c:pt idx="14">
                  <c:v>2.3371819187857973E-3</c:v>
                </c:pt>
                <c:pt idx="15">
                  <c:v>2.2699318884487484E-3</c:v>
                </c:pt>
                <c:pt idx="16">
                  <c:v>2.2111435045090665E-3</c:v>
                </c:pt>
                <c:pt idx="17">
                  <c:v>2.1592804461141894E-3</c:v>
                </c:pt>
                <c:pt idx="18">
                  <c:v>2.1131495538061341E-3</c:v>
                </c:pt>
                <c:pt idx="19">
                  <c:v>2.071828370905512E-3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4C1-4FBE-9491-655FA6E9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2800"/>
        <c:axId val="586813376"/>
      </c:scatterChart>
      <c:scatterChart>
        <c:scatterStyle val="smoothMarker"/>
        <c:varyColors val="0"/>
        <c:ser>
          <c:idx val="1"/>
          <c:order val="0"/>
          <c:tx>
            <c:v>Axis_1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9037-4A12-829F-94E11D0BB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4528"/>
        <c:axId val="586813952"/>
      </c:scatterChart>
      <c:valAx>
        <c:axId val="58681280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813376"/>
        <c:crossesAt val="0"/>
        <c:crossBetween val="midCat"/>
      </c:valAx>
      <c:valAx>
        <c:axId val="586813376"/>
        <c:scaling>
          <c:logBase val="10"/>
          <c:orientation val="minMax"/>
          <c:max val="1"/>
          <c:min val="1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812800"/>
        <c:crossesAt val="0"/>
        <c:crossBetween val="midCat"/>
      </c:valAx>
      <c:valAx>
        <c:axId val="586813952"/>
        <c:scaling>
          <c:logBase val="10"/>
          <c:orientation val="minMax"/>
          <c:max val="1"/>
          <c:min val="1E-3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14528"/>
        <c:crosses val="max"/>
        <c:crossBetween val="midCat"/>
      </c:valAx>
      <c:valAx>
        <c:axId val="58681452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1395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Density, lbm/cf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038120234970629"/>
          <c:w val="0.84530568430719188"/>
          <c:h val="0.74594738157730289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B7-4006-983C-18983FEABC14}"/>
            </c:ext>
          </c:extLst>
        </c:ser>
        <c:ser>
          <c:idx val="0"/>
          <c:order val="2"/>
          <c:tx>
            <c:v>Tpr: 2.04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Properties'!$AP$10:$AP$29</c:f>
              <c:numCache>
                <c:formatCode>0.0000;0;0</c:formatCode>
                <c:ptCount val="20"/>
                <c:pt idx="0">
                  <c:v>0.23396883079978489</c:v>
                </c:pt>
                <c:pt idx="1">
                  <c:v>2.7935381339784389</c:v>
                </c:pt>
                <c:pt idx="2">
                  <c:v>5.3957611418593823</c:v>
                </c:pt>
                <c:pt idx="3">
                  <c:v>7.844021314599007</c:v>
                </c:pt>
                <c:pt idx="4">
                  <c:v>10.037132762780121</c:v>
                </c:pt>
                <c:pt idx="5">
                  <c:v>11.958645454240784</c:v>
                </c:pt>
                <c:pt idx="6">
                  <c:v>13.63335973271613</c:v>
                </c:pt>
                <c:pt idx="7">
                  <c:v>15.09702131868795</c:v>
                </c:pt>
                <c:pt idx="8">
                  <c:v>16.384765874946805</c:v>
                </c:pt>
                <c:pt idx="9">
                  <c:v>17.526116572179973</c:v>
                </c:pt>
                <c:pt idx="10">
                  <c:v>18.545247712902924</c:v>
                </c:pt>
                <c:pt idx="11">
                  <c:v>19.461611602147752</c:v>
                </c:pt>
                <c:pt idx="12">
                  <c:v>20.291228373739472</c:v>
                </c:pt>
                <c:pt idx="13">
                  <c:v>21.046293818915835</c:v>
                </c:pt>
                <c:pt idx="14">
                  <c:v>21.737474728726312</c:v>
                </c:pt>
                <c:pt idx="15">
                  <c:v>22.373029092210277</c:v>
                </c:pt>
                <c:pt idx="16">
                  <c:v>22.959982472584795</c:v>
                </c:pt>
                <c:pt idx="17">
                  <c:v>23.504227458275555</c:v>
                </c:pt>
                <c:pt idx="18">
                  <c:v>24.010468379447794</c:v>
                </c:pt>
                <c:pt idx="19">
                  <c:v>24.482937947143501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2E2-4E6D-B23B-A115A407EA05}"/>
            </c:ext>
          </c:extLst>
        </c:ser>
        <c:ser>
          <c:idx val="3"/>
          <c:order val="3"/>
          <c:tx>
            <c:v>Tpr: 2.07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Properties'!$AU$10:$AU$29</c:f>
              <c:numCache>
                <c:formatCode>0.0000;0;0</c:formatCode>
                <c:ptCount val="20"/>
                <c:pt idx="0">
                  <c:v>0.2313024259204049</c:v>
                </c:pt>
                <c:pt idx="1">
                  <c:v>2.7550154343098812</c:v>
                </c:pt>
                <c:pt idx="2">
                  <c:v>5.3143837576227995</c:v>
                </c:pt>
                <c:pt idx="3">
                  <c:v>7.7245312379872226</c:v>
                </c:pt>
                <c:pt idx="4">
                  <c:v>9.8897419282090269</c:v>
                </c:pt>
                <c:pt idx="5">
                  <c:v>11.793321203642321</c:v>
                </c:pt>
                <c:pt idx="6">
                  <c:v>13.457321035145354</c:v>
                </c:pt>
                <c:pt idx="7">
                  <c:v>14.915610478780161</c:v>
                </c:pt>
                <c:pt idx="8">
                  <c:v>16.201224390405933</c:v>
                </c:pt>
                <c:pt idx="9">
                  <c:v>17.342463511881842</c:v>
                </c:pt>
                <c:pt idx="10">
                  <c:v>18.362954228260385</c:v>
                </c:pt>
                <c:pt idx="11">
                  <c:v>19.281670669743733</c:v>
                </c:pt>
                <c:pt idx="12">
                  <c:v>20.114015125630292</c:v>
                </c:pt>
                <c:pt idx="13">
                  <c:v>20.872227443763915</c:v>
                </c:pt>
                <c:pt idx="14">
                  <c:v>21.566666583378087</c:v>
                </c:pt>
                <c:pt idx="15">
                  <c:v>22.205610416618988</c:v>
                </c:pt>
                <c:pt idx="16">
                  <c:v>22.795998126925937</c:v>
                </c:pt>
                <c:pt idx="17">
                  <c:v>23.34352783023699</c:v>
                </c:pt>
                <c:pt idx="18">
                  <c:v>23.853126294996461</c:v>
                </c:pt>
                <c:pt idx="19">
                  <c:v>24.328860389687136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2E2-4E6D-B23B-A115A407E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6832"/>
        <c:axId val="586866688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5B7-4006-983C-18983FEA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67840"/>
        <c:axId val="586867264"/>
      </c:scatterChart>
      <c:valAx>
        <c:axId val="586816832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866688"/>
        <c:crossesAt val="0"/>
        <c:crossBetween val="midCat"/>
      </c:valAx>
      <c:valAx>
        <c:axId val="586866688"/>
        <c:scaling>
          <c:orientation val="minMax"/>
          <c:max val="24.482937947143501"/>
          <c:min val="0.2313024259204049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816832"/>
        <c:crossesAt val="0"/>
        <c:crossBetween val="midCat"/>
      </c:valAx>
      <c:valAx>
        <c:axId val="586867264"/>
        <c:scaling>
          <c:orientation val="minMax"/>
          <c:max val="24.482937947143501"/>
          <c:min val="0.2313024259204049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67840"/>
        <c:crosses val="max"/>
        <c:crossBetween val="midCat"/>
      </c:valAx>
      <c:valAx>
        <c:axId val="586867840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8672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Eg, scf/cf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119985001874765"/>
          <c:w val="0.84530568430719188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E32-4FB0-BCE6-4E839807CC7D}"/>
            </c:ext>
          </c:extLst>
        </c:ser>
        <c:ser>
          <c:idx val="0"/>
          <c:order val="2"/>
          <c:tx>
            <c:v>Tpr: 2.04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Properties'!$AR$10:$AR$29</c:f>
              <c:numCache>
                <c:formatCode>0.0;0;0</c:formatCode>
                <c:ptCount val="20"/>
                <c:pt idx="0">
                  <c:v>4.6417576593414811</c:v>
                </c:pt>
                <c:pt idx="1">
                  <c:v>55.42160032911891</c:v>
                </c:pt>
                <c:pt idx="2">
                  <c:v>107.04765896631538</c:v>
                </c:pt>
                <c:pt idx="3">
                  <c:v>155.61921599819888</c:v>
                </c:pt>
                <c:pt idx="4">
                  <c:v>199.12882292996773</c:v>
                </c:pt>
                <c:pt idx="5">
                  <c:v>237.25012405636377</c:v>
                </c:pt>
                <c:pt idx="6">
                  <c:v>270.47513869933397</c:v>
                </c:pt>
                <c:pt idx="7">
                  <c:v>299.51303385034419</c:v>
                </c:pt>
                <c:pt idx="8">
                  <c:v>325.06087343588666</c:v>
                </c:pt>
                <c:pt idx="9">
                  <c:v>347.7043739516044</c:v>
                </c:pt>
                <c:pt idx="10">
                  <c:v>367.92313455383299</c:v>
                </c:pt>
                <c:pt idx="11">
                  <c:v>386.10307368122051</c:v>
                </c:pt>
                <c:pt idx="12">
                  <c:v>402.56201819400195</c:v>
                </c:pt>
                <c:pt idx="13">
                  <c:v>417.54192300213725</c:v>
                </c:pt>
                <c:pt idx="14">
                  <c:v>431.25440885393363</c:v>
                </c:pt>
                <c:pt idx="15">
                  <c:v>443.86330775959203</c:v>
                </c:pt>
                <c:pt idx="16">
                  <c:v>455.50800136991836</c:v>
                </c:pt>
                <c:pt idx="17">
                  <c:v>466.30539400659001</c:v>
                </c:pt>
                <c:pt idx="18">
                  <c:v>476.34881588159254</c:v>
                </c:pt>
                <c:pt idx="19">
                  <c:v>485.7222406542881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8F6-4413-AC6F-A37720387CF7}"/>
            </c:ext>
          </c:extLst>
        </c:ser>
        <c:ser>
          <c:idx val="3"/>
          <c:order val="3"/>
          <c:tx>
            <c:v>Tpr: 2.07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Properties'!$AW$10:$AW$29</c:f>
              <c:numCache>
                <c:formatCode>0.0;0;0</c:formatCode>
                <c:ptCount val="20"/>
                <c:pt idx="0">
                  <c:v>4.5888582828328257</c:v>
                </c:pt>
                <c:pt idx="1">
                  <c:v>54.657340253818312</c:v>
                </c:pt>
                <c:pt idx="2">
                  <c:v>105.4331956410677</c:v>
                </c:pt>
                <c:pt idx="3">
                  <c:v>153.24862682000756</c:v>
                </c:pt>
                <c:pt idx="4">
                  <c:v>196.2047046491333</c:v>
                </c:pt>
                <c:pt idx="5">
                  <c:v>233.97022090060111</c:v>
                </c:pt>
                <c:pt idx="6">
                  <c:v>266.98266933922122</c:v>
                </c:pt>
                <c:pt idx="7">
                  <c:v>295.91398540978446</c:v>
                </c:pt>
                <c:pt idx="8">
                  <c:v>321.41955468089606</c:v>
                </c:pt>
                <c:pt idx="9">
                  <c:v>344.06084162130935</c:v>
                </c:pt>
                <c:pt idx="10">
                  <c:v>364.30657513566138</c:v>
                </c:pt>
                <c:pt idx="11">
                  <c:v>382.53318704991045</c:v>
                </c:pt>
                <c:pt idx="12">
                  <c:v>399.0462466746261</c:v>
                </c:pt>
                <c:pt idx="13">
                  <c:v>414.08858296819636</c:v>
                </c:pt>
                <c:pt idx="14">
                  <c:v>427.8657095377136</c:v>
                </c:pt>
                <c:pt idx="15">
                  <c:v>440.54185285858568</c:v>
                </c:pt>
                <c:pt idx="16">
                  <c:v>452.25468087473905</c:v>
                </c:pt>
                <c:pt idx="17">
                  <c:v>463.11723972658848</c:v>
                </c:pt>
                <c:pt idx="18">
                  <c:v>473.2272726266977</c:v>
                </c:pt>
                <c:pt idx="19">
                  <c:v>482.66546304843803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8F6-4413-AC6F-A37720387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E32-4FB0-BCE6-4E839807C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600"/>
          <c:min val="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517436243308381E-2"/>
          <c:w val="0.84530568430719188"/>
          <c:h val="0.81406967683727038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0-3BBD-4A85-B271-9268C322C147}"/>
              </c:ext>
            </c:extLst>
          </c:dPt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BBD-4A85-B271-9268C322C147}"/>
            </c:ext>
          </c:extLst>
        </c:ser>
        <c:ser>
          <c:idx val="3"/>
          <c:order val="3"/>
          <c:tx>
            <c:v>Tpr: 2.04</c:v>
          </c:tx>
          <c:spPr>
            <a:ln w="952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Properties'!$AN$10:$AN$29</c:f>
              <c:numCache>
                <c:formatCode>0.0000;0;0</c:formatCode>
                <c:ptCount val="20"/>
                <c:pt idx="0">
                  <c:v>0.99470999999999998</c:v>
                </c:pt>
                <c:pt idx="1">
                  <c:v>0.95587999999999995</c:v>
                </c:pt>
                <c:pt idx="2">
                  <c:v>0.94664000000000004</c:v>
                </c:pt>
                <c:pt idx="3">
                  <c:v>0.96192999999999995</c:v>
                </c:pt>
                <c:pt idx="4">
                  <c:v>0.99460000000000004</c:v>
                </c:pt>
                <c:pt idx="5">
                  <c:v>1.0386200000000001</c:v>
                </c:pt>
                <c:pt idx="6">
                  <c:v>1.0898300000000001</c:v>
                </c:pt>
                <c:pt idx="7">
                  <c:v>1.1456299999999999</c:v>
                </c:pt>
                <c:pt idx="8">
                  <c:v>1.2043600000000001</c:v>
                </c:pt>
                <c:pt idx="9">
                  <c:v>1.26501</c:v>
                </c:pt>
                <c:pt idx="10">
                  <c:v>1.3269299999999999</c:v>
                </c:pt>
                <c:pt idx="11">
                  <c:v>1.3896999999999999</c:v>
                </c:pt>
                <c:pt idx="12">
                  <c:v>1.4530099999999999</c:v>
                </c:pt>
                <c:pt idx="13">
                  <c:v>1.5166999999999999</c:v>
                </c:pt>
                <c:pt idx="14">
                  <c:v>1.5806100000000001</c:v>
                </c:pt>
                <c:pt idx="15">
                  <c:v>1.64466</c:v>
                </c:pt>
                <c:pt idx="16">
                  <c:v>1.70878</c:v>
                </c:pt>
                <c:pt idx="17">
                  <c:v>1.7729200000000001</c:v>
                </c:pt>
                <c:pt idx="18">
                  <c:v>1.8370599999999999</c:v>
                </c:pt>
                <c:pt idx="19">
                  <c:v>1.90117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CB-467B-A7B7-5F7D40B78AC2}"/>
            </c:ext>
          </c:extLst>
        </c:ser>
        <c:ser>
          <c:idx val="4"/>
          <c:order val="4"/>
          <c:tx>
            <c:v>Tpr: 2.07</c:v>
          </c:tx>
          <c:spPr>
            <a:ln w="9525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Properties'!$AS$10:$AS$29</c:f>
              <c:numCache>
                <c:formatCode>0.0000;0;0</c:formatCode>
                <c:ptCount val="20"/>
                <c:pt idx="0">
                  <c:v>0.99497999999999998</c:v>
                </c:pt>
                <c:pt idx="1">
                  <c:v>0.95845999999999998</c:v>
                </c:pt>
                <c:pt idx="2">
                  <c:v>0.95043999999999995</c:v>
                </c:pt>
                <c:pt idx="3">
                  <c:v>0.96594000000000002</c:v>
                </c:pt>
                <c:pt idx="4">
                  <c:v>0.99819000000000002</c:v>
                </c:pt>
                <c:pt idx="5">
                  <c:v>1.0414600000000001</c:v>
                </c:pt>
                <c:pt idx="6">
                  <c:v>1.0918000000000001</c:v>
                </c:pt>
                <c:pt idx="7">
                  <c:v>1.14666</c:v>
                </c:pt>
                <c:pt idx="8">
                  <c:v>1.20445</c:v>
                </c:pt>
                <c:pt idx="9">
                  <c:v>1.2641800000000001</c:v>
                </c:pt>
                <c:pt idx="10">
                  <c:v>1.3251900000000001</c:v>
                </c:pt>
                <c:pt idx="11">
                  <c:v>1.38706</c:v>
                </c:pt>
                <c:pt idx="12">
                  <c:v>1.4495</c:v>
                </c:pt>
                <c:pt idx="13">
                  <c:v>1.51233</c:v>
                </c:pt>
                <c:pt idx="14">
                  <c:v>1.5753999999999999</c:v>
                </c:pt>
                <c:pt idx="15">
                  <c:v>1.63862</c:v>
                </c:pt>
                <c:pt idx="16">
                  <c:v>1.7019200000000001</c:v>
                </c:pt>
                <c:pt idx="17">
                  <c:v>1.7652600000000001</c:v>
                </c:pt>
                <c:pt idx="18">
                  <c:v>1.8286</c:v>
                </c:pt>
                <c:pt idx="19">
                  <c:v>1.89192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8CB-467B-A7B7-5F7D40B78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2"/>
          <c:order val="1"/>
          <c:tx>
            <c:strRef>
              <c:f>Reservoir!$E$4</c:f>
              <c:strCache>
                <c:ptCount val="1"/>
                <c:pt idx="0">
                  <c:v>Max</c:v>
                </c:pt>
              </c:strCache>
            </c:strRef>
          </c:tx>
          <c:spPr>
            <a:ln w="9525">
              <a:noFill/>
            </a:ln>
          </c:spPr>
          <c:marker>
            <c:symbol val="circle"/>
            <c:size val="7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Reservoir!$E$19</c:f>
              <c:numCache>
                <c:formatCode>#,##0.0</c:formatCode>
                <c:ptCount val="1"/>
                <c:pt idx="0">
                  <c:v>15893.965091863516</c:v>
                </c:pt>
              </c:numCache>
            </c:numRef>
          </c:xVal>
          <c:yVal>
            <c:numRef>
              <c:f>Reservoir!$E$26</c:f>
              <c:numCache>
                <c:formatCode>_(* #,##0.000_);_(* \(#,##0.000\);_(* "-"??_);_(@_)</c:formatCode>
                <c:ptCount val="1"/>
                <c:pt idx="0">
                  <c:v>1.6436599999999999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BD-4A85-B271-9268C322C147}"/>
            </c:ext>
          </c:extLst>
        </c:ser>
        <c:ser>
          <c:idx val="0"/>
          <c:order val="2"/>
          <c:tx>
            <c:strRef>
              <c:f>Reservoir!$D$15</c:f>
              <c:strCache>
                <c:ptCount val="1"/>
                <c:pt idx="0">
                  <c:v>Min</c:v>
                </c:pt>
              </c:strCache>
            </c:strRef>
          </c:tx>
          <c:spPr>
            <a:ln w="9525">
              <a:noFill/>
              <a:prstDash val="solid"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rgbClr val="0000FF"/>
                </a:solidFill>
                <a:prstDash val="solid"/>
              </a:ln>
            </c:spPr>
          </c:marker>
          <c:xVal>
            <c:numRef>
              <c:f>Reservoir!$D$19</c:f>
              <c:numCache>
                <c:formatCode>#,##0.0</c:formatCode>
                <c:ptCount val="1"/>
                <c:pt idx="0">
                  <c:v>15224.67375328084</c:v>
                </c:pt>
              </c:numCache>
            </c:numRef>
          </c:xVal>
          <c:yVal>
            <c:numRef>
              <c:f>Reservoir!$D$26</c:f>
              <c:numCache>
                <c:formatCode>_(* #,##0.000_);_(* \(#,##0.000\);_(* "-"??_);_(@_)</c:formatCode>
                <c:ptCount val="1"/>
                <c:pt idx="0">
                  <c:v>1.6088199999999999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BBD-4A85-B271-9268C322C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ax val="1.90117"/>
          <c:min val="0.94664000000000004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1.90117"/>
          <c:min val="0.94664000000000004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1459307662156604"/>
          <c:y val="0.13713316108923887"/>
          <c:w val="0.20235714392033699"/>
          <c:h val="0.18836368110236221"/>
        </c:manualLayout>
      </c:layout>
      <c:overlay val="0"/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Expansion Factor (Eg), scf/cf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035901762279735E-2"/>
          <c:y val="9.1517436243308381E-2"/>
          <c:w val="0.80192819647544056"/>
          <c:h val="0.81406967683727038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7FF-4A3F-91D5-CDBCF2347B3C}"/>
              </c:ext>
            </c:extLst>
          </c:dPt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FF-4A3F-91D5-CDBCF2347B3C}"/>
            </c:ext>
          </c:extLst>
        </c:ser>
        <c:ser>
          <c:idx val="3"/>
          <c:order val="3"/>
          <c:tx>
            <c:v>Tpr: 2.04</c:v>
          </c:tx>
          <c:spPr>
            <a:ln w="952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Properties'!$AR$10:$AR$29</c:f>
              <c:numCache>
                <c:formatCode>0.0;0;0</c:formatCode>
                <c:ptCount val="20"/>
                <c:pt idx="0">
                  <c:v>4.6417576593414811</c:v>
                </c:pt>
                <c:pt idx="1">
                  <c:v>55.42160032911891</c:v>
                </c:pt>
                <c:pt idx="2">
                  <c:v>107.04765896631538</c:v>
                </c:pt>
                <c:pt idx="3">
                  <c:v>155.61921599819888</c:v>
                </c:pt>
                <c:pt idx="4">
                  <c:v>199.12882292996773</c:v>
                </c:pt>
                <c:pt idx="5">
                  <c:v>237.25012405636377</c:v>
                </c:pt>
                <c:pt idx="6">
                  <c:v>270.47513869933397</c:v>
                </c:pt>
                <c:pt idx="7">
                  <c:v>299.51303385034419</c:v>
                </c:pt>
                <c:pt idx="8">
                  <c:v>325.06087343588666</c:v>
                </c:pt>
                <c:pt idx="9">
                  <c:v>347.7043739516044</c:v>
                </c:pt>
                <c:pt idx="10">
                  <c:v>367.92313455383299</c:v>
                </c:pt>
                <c:pt idx="11">
                  <c:v>386.10307368122051</c:v>
                </c:pt>
                <c:pt idx="12">
                  <c:v>402.56201819400195</c:v>
                </c:pt>
                <c:pt idx="13">
                  <c:v>417.54192300213725</c:v>
                </c:pt>
                <c:pt idx="14">
                  <c:v>431.25440885393363</c:v>
                </c:pt>
                <c:pt idx="15">
                  <c:v>443.86330775959203</c:v>
                </c:pt>
                <c:pt idx="16">
                  <c:v>455.50800136991836</c:v>
                </c:pt>
                <c:pt idx="17">
                  <c:v>466.30539400659001</c:v>
                </c:pt>
                <c:pt idx="18">
                  <c:v>476.34881588159254</c:v>
                </c:pt>
                <c:pt idx="19">
                  <c:v>485.7222406542881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7FF-4A3F-91D5-CDBCF2347B3C}"/>
            </c:ext>
          </c:extLst>
        </c:ser>
        <c:ser>
          <c:idx val="4"/>
          <c:order val="4"/>
          <c:tx>
            <c:v>Tpr: 2.07</c:v>
          </c:tx>
          <c:spPr>
            <a:ln w="9525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Properties'!$AW$10:$AW$29</c:f>
              <c:numCache>
                <c:formatCode>0.0;0;0</c:formatCode>
                <c:ptCount val="20"/>
                <c:pt idx="0">
                  <c:v>4.5888582828328257</c:v>
                </c:pt>
                <c:pt idx="1">
                  <c:v>54.657340253818312</c:v>
                </c:pt>
                <c:pt idx="2">
                  <c:v>105.4331956410677</c:v>
                </c:pt>
                <c:pt idx="3">
                  <c:v>153.24862682000756</c:v>
                </c:pt>
                <c:pt idx="4">
                  <c:v>196.2047046491333</c:v>
                </c:pt>
                <c:pt idx="5">
                  <c:v>233.97022090060111</c:v>
                </c:pt>
                <c:pt idx="6">
                  <c:v>266.98266933922122</c:v>
                </c:pt>
                <c:pt idx="7">
                  <c:v>295.91398540978446</c:v>
                </c:pt>
                <c:pt idx="8">
                  <c:v>321.41955468089606</c:v>
                </c:pt>
                <c:pt idx="9">
                  <c:v>344.06084162130935</c:v>
                </c:pt>
                <c:pt idx="10">
                  <c:v>364.30657513566138</c:v>
                </c:pt>
                <c:pt idx="11">
                  <c:v>382.53318704991045</c:v>
                </c:pt>
                <c:pt idx="12">
                  <c:v>399.0462466746261</c:v>
                </c:pt>
                <c:pt idx="13">
                  <c:v>414.08858296819636</c:v>
                </c:pt>
                <c:pt idx="14">
                  <c:v>427.8657095377136</c:v>
                </c:pt>
                <c:pt idx="15">
                  <c:v>440.54185285858568</c:v>
                </c:pt>
                <c:pt idx="16">
                  <c:v>452.25468087473905</c:v>
                </c:pt>
                <c:pt idx="17">
                  <c:v>463.11723972658848</c:v>
                </c:pt>
                <c:pt idx="18">
                  <c:v>473.2272726266977</c:v>
                </c:pt>
                <c:pt idx="19">
                  <c:v>482.66546304843803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47FF-4A3F-91D5-CDBCF234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2"/>
          <c:order val="1"/>
          <c:tx>
            <c:strRef>
              <c:f>Reservoir!$E$4</c:f>
              <c:strCache>
                <c:ptCount val="1"/>
                <c:pt idx="0">
                  <c:v>Max</c:v>
                </c:pt>
              </c:strCache>
            </c:strRef>
          </c:tx>
          <c:spPr>
            <a:ln w="9525">
              <a:noFill/>
            </a:ln>
          </c:spPr>
          <c:marker>
            <c:symbol val="circle"/>
            <c:size val="7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Reservoir!$E$19</c:f>
              <c:numCache>
                <c:formatCode>#,##0.0</c:formatCode>
                <c:ptCount val="1"/>
                <c:pt idx="0">
                  <c:v>15893.965091863516</c:v>
                </c:pt>
              </c:numCache>
            </c:numRef>
          </c:xVal>
          <c:yVal>
            <c:numRef>
              <c:f>Reservoir!$E$28</c:f>
              <c:numCache>
                <c:formatCode>_(* #,##0.0_);_(* \(#,##0.0\);_(* "-"??_);_(@_)</c:formatCode>
                <c:ptCount val="1"/>
                <c:pt idx="0">
                  <c:v>441.50869942075769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FF-4A3F-91D5-CDBCF2347B3C}"/>
            </c:ext>
          </c:extLst>
        </c:ser>
        <c:ser>
          <c:idx val="0"/>
          <c:order val="2"/>
          <c:tx>
            <c:strRef>
              <c:f>Reservoir!$D$15</c:f>
              <c:strCache>
                <c:ptCount val="1"/>
                <c:pt idx="0">
                  <c:v>Min</c:v>
                </c:pt>
              </c:strCache>
            </c:strRef>
          </c:tx>
          <c:spPr>
            <a:ln w="9525">
              <a:noFill/>
              <a:prstDash val="solid"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rgbClr val="0000FF"/>
                </a:solidFill>
                <a:prstDash val="solid"/>
              </a:ln>
            </c:spPr>
          </c:marker>
          <c:xVal>
            <c:numRef>
              <c:f>Reservoir!$D$19</c:f>
              <c:numCache>
                <c:formatCode>#,##0.0</c:formatCode>
                <c:ptCount val="1"/>
                <c:pt idx="0">
                  <c:v>15224.67375328084</c:v>
                </c:pt>
              </c:numCache>
            </c:numRef>
          </c:xVal>
          <c:yVal>
            <c:numRef>
              <c:f>Reservoir!$D$28</c:f>
              <c:numCache>
                <c:formatCode>_(* #,##0.0_);_(* \(#,##0.0\);_(* "-"??_);_(@_)</c:formatCode>
                <c:ptCount val="1"/>
                <c:pt idx="0">
                  <c:v>436.93766669918767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FF-4A3F-91D5-CDBCF234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ax val="500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500"/>
          <c:min val="0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1459307662156604"/>
          <c:y val="0.13713316108923887"/>
          <c:w val="0.20235714392033699"/>
          <c:h val="0.18836368110236221"/>
        </c:manualLayout>
      </c:layout>
      <c:overlay val="0"/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Bg, cf/scf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517436243308381E-2"/>
          <c:w val="0.84530568430719188"/>
          <c:h val="0.81406967683727038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21F-4A62-8E94-3D8027E5D2C3}"/>
              </c:ext>
            </c:extLst>
          </c:dPt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21F-4A62-8E94-3D8027E5D2C3}"/>
            </c:ext>
          </c:extLst>
        </c:ser>
        <c:ser>
          <c:idx val="3"/>
          <c:order val="3"/>
          <c:tx>
            <c:v>Tpr: 2.04</c:v>
          </c:tx>
          <c:spPr>
            <a:ln w="952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Properties'!$AO$10:$AO$29</c:f>
              <c:numCache>
                <c:formatCode>0.0000;0;0</c:formatCode>
                <c:ptCount val="20"/>
                <c:pt idx="0">
                  <c:v>0.21543563309202757</c:v>
                </c:pt>
                <c:pt idx="1">
                  <c:v>1.8043506395729117E-2</c:v>
                </c:pt>
                <c:pt idx="2">
                  <c:v>9.3416335271252343E-3</c:v>
                </c:pt>
                <c:pt idx="3">
                  <c:v>6.4259416395695875E-3</c:v>
                </c:pt>
                <c:pt idx="4">
                  <c:v>5.0218747104817333E-3</c:v>
                </c:pt>
                <c:pt idx="5">
                  <c:v>4.214960915099159E-3</c:v>
                </c:pt>
                <c:pt idx="6">
                  <c:v>3.6971974755566047E-3</c:v>
                </c:pt>
                <c:pt idx="7">
                  <c:v>3.3387528654250948E-3</c:v>
                </c:pt>
                <c:pt idx="8">
                  <c:v>3.0763468682958391E-3</c:v>
                </c:pt>
                <c:pt idx="9">
                  <c:v>2.8760063862158548E-3</c:v>
                </c:pt>
                <c:pt idx="10">
                  <c:v>2.7179590139463877E-3</c:v>
                </c:pt>
                <c:pt idx="11">
                  <c:v>2.5899819715644976E-3</c:v>
                </c:pt>
                <c:pt idx="12">
                  <c:v>2.4840892950762231E-3</c:v>
                </c:pt>
                <c:pt idx="13">
                  <c:v>2.3949690915105581E-3</c:v>
                </c:pt>
                <c:pt idx="14">
                  <c:v>2.3188168734495215E-3</c:v>
                </c:pt>
                <c:pt idx="15">
                  <c:v>2.2529458563437421E-3</c:v>
                </c:pt>
                <c:pt idx="16">
                  <c:v>2.1953511178564333E-3</c:v>
                </c:pt>
                <c:pt idx="17">
                  <c:v>2.1445173331747212E-3</c:v>
                </c:pt>
                <c:pt idx="18">
                  <c:v>2.0993019540717678E-3</c:v>
                </c:pt>
                <c:pt idx="19">
                  <c:v>2.0587898109276576E-3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21F-4A62-8E94-3D8027E5D2C3}"/>
            </c:ext>
          </c:extLst>
        </c:ser>
        <c:ser>
          <c:idx val="4"/>
          <c:order val="4"/>
          <c:tx>
            <c:v>Tpr: 2.07</c:v>
          </c:tx>
          <c:spPr>
            <a:ln w="9525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'Reservoir Properties'!$AL$10:$AL$29</c:f>
              <c:numCache>
                <c:formatCode>0.00;0;0</c:formatCode>
                <c:ptCount val="20"/>
                <c:pt idx="0">
                  <c:v>100</c:v>
                </c:pt>
                <c:pt idx="1">
                  <c:v>1147.3699999999999</c:v>
                </c:pt>
                <c:pt idx="2">
                  <c:v>2194.7399999999998</c:v>
                </c:pt>
                <c:pt idx="3">
                  <c:v>3242.11</c:v>
                </c:pt>
                <c:pt idx="4">
                  <c:v>4289.47</c:v>
                </c:pt>
                <c:pt idx="5">
                  <c:v>5336.84</c:v>
                </c:pt>
                <c:pt idx="6">
                  <c:v>6384.21</c:v>
                </c:pt>
                <c:pt idx="7">
                  <c:v>7431.58</c:v>
                </c:pt>
                <c:pt idx="8">
                  <c:v>8478.9500000000007</c:v>
                </c:pt>
                <c:pt idx="9">
                  <c:v>9526.32</c:v>
                </c:pt>
                <c:pt idx="10">
                  <c:v>10573.68</c:v>
                </c:pt>
                <c:pt idx="11">
                  <c:v>11621.05</c:v>
                </c:pt>
                <c:pt idx="12">
                  <c:v>12668.42</c:v>
                </c:pt>
                <c:pt idx="13">
                  <c:v>13715.79</c:v>
                </c:pt>
                <c:pt idx="14">
                  <c:v>14763.16</c:v>
                </c:pt>
                <c:pt idx="15">
                  <c:v>15810.53</c:v>
                </c:pt>
                <c:pt idx="16">
                  <c:v>16857.89</c:v>
                </c:pt>
                <c:pt idx="17">
                  <c:v>17905.259999999998</c:v>
                </c:pt>
                <c:pt idx="18">
                  <c:v>18952.63</c:v>
                </c:pt>
                <c:pt idx="19">
                  <c:v>20000</c:v>
                </c:pt>
              </c:numCache>
            </c:numRef>
          </c:xVal>
          <c:yVal>
            <c:numRef>
              <c:f>'Reservoir Properties'!$AT$10:$AT$29</c:f>
              <c:numCache>
                <c:formatCode>0.0000;0;0</c:formatCode>
                <c:ptCount val="20"/>
                <c:pt idx="0">
                  <c:v>0.21791912897834645</c:v>
                </c:pt>
                <c:pt idx="1">
                  <c:v>1.8295804284588123E-2</c:v>
                </c:pt>
                <c:pt idx="2">
                  <c:v>9.4846788425569269E-3</c:v>
                </c:pt>
                <c:pt idx="3">
                  <c:v>6.5253439508760665E-3</c:v>
                </c:pt>
                <c:pt idx="4">
                  <c:v>5.0967177458270865E-3</c:v>
                </c:pt>
                <c:pt idx="5">
                  <c:v>4.2740481936153563E-3</c:v>
                </c:pt>
                <c:pt idx="6">
                  <c:v>3.7455614721172256E-3</c:v>
                </c:pt>
                <c:pt idx="7">
                  <c:v>3.3793603861446107E-3</c:v>
                </c:pt>
                <c:pt idx="8">
                  <c:v>3.1111983867714451E-3</c:v>
                </c:pt>
                <c:pt idx="9">
                  <c:v>2.9064626921439965E-3</c:v>
                </c:pt>
                <c:pt idx="10">
                  <c:v>2.7449408499630222E-3</c:v>
                </c:pt>
                <c:pt idx="11">
                  <c:v>2.6141522718904032E-3</c:v>
                </c:pt>
                <c:pt idx="12">
                  <c:v>2.5059752054637889E-3</c:v>
                </c:pt>
                <c:pt idx="13">
                  <c:v>2.4149422155809691E-3</c:v>
                </c:pt>
                <c:pt idx="14">
                  <c:v>2.3371819187857973E-3</c:v>
                </c:pt>
                <c:pt idx="15">
                  <c:v>2.2699318884487484E-3</c:v>
                </c:pt>
                <c:pt idx="16">
                  <c:v>2.2111435045090665E-3</c:v>
                </c:pt>
                <c:pt idx="17">
                  <c:v>2.1592804461141894E-3</c:v>
                </c:pt>
                <c:pt idx="18">
                  <c:v>2.1131495538061341E-3</c:v>
                </c:pt>
                <c:pt idx="19">
                  <c:v>2.071828370905512E-3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21F-4A62-8E94-3D8027E5D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2"/>
          <c:order val="1"/>
          <c:tx>
            <c:strRef>
              <c:f>Reservoir!$E$4</c:f>
              <c:strCache>
                <c:ptCount val="1"/>
                <c:pt idx="0">
                  <c:v>Max</c:v>
                </c:pt>
              </c:strCache>
            </c:strRef>
          </c:tx>
          <c:spPr>
            <a:ln w="9525">
              <a:noFill/>
            </a:ln>
          </c:spPr>
          <c:marker>
            <c:symbol val="circle"/>
            <c:size val="7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Reservoir!$E$19</c:f>
              <c:numCache>
                <c:formatCode>#,##0.0</c:formatCode>
                <c:ptCount val="1"/>
                <c:pt idx="0">
                  <c:v>15893.965091863516</c:v>
                </c:pt>
              </c:numCache>
            </c:numRef>
          </c:xVal>
          <c:yVal>
            <c:numRef>
              <c:f>Reservoir!$E$27</c:f>
              <c:numCache>
                <c:formatCode>_(* #,##0.00000_);_(* \(#,##0.00000\);_(* "-"??_);_(@_)</c:formatCode>
                <c:ptCount val="1"/>
                <c:pt idx="0">
                  <c:v>2.2649610331845356E-3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1F-4A62-8E94-3D8027E5D2C3}"/>
            </c:ext>
          </c:extLst>
        </c:ser>
        <c:ser>
          <c:idx val="0"/>
          <c:order val="2"/>
          <c:tx>
            <c:strRef>
              <c:f>Reservoir!$D$15</c:f>
              <c:strCache>
                <c:ptCount val="1"/>
                <c:pt idx="0">
                  <c:v>Min</c:v>
                </c:pt>
              </c:strCache>
            </c:strRef>
          </c:tx>
          <c:spPr>
            <a:ln w="9525">
              <a:noFill/>
              <a:prstDash val="solid"/>
            </a:ln>
          </c:spPr>
          <c:marker>
            <c:symbol val="circle"/>
            <c:size val="7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rgbClr val="0000FF"/>
                </a:solidFill>
                <a:prstDash val="solid"/>
              </a:ln>
            </c:spPr>
          </c:marker>
          <c:xVal>
            <c:numRef>
              <c:f>Reservoir!$D$19</c:f>
              <c:numCache>
                <c:formatCode>#,##0.0</c:formatCode>
                <c:ptCount val="1"/>
                <c:pt idx="0">
                  <c:v>15224.67375328084</c:v>
                </c:pt>
              </c:numCache>
            </c:numRef>
          </c:xVal>
          <c:yVal>
            <c:numRef>
              <c:f>Reservoir!$D$27</c:f>
              <c:numCache>
                <c:formatCode>_(* #,##0.00000_);_(* \(#,##0.00000\);_(* "-"??_);_(@_)</c:formatCode>
                <c:ptCount val="1"/>
                <c:pt idx="0">
                  <c:v>2.2886559713526733E-3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21F-4A62-8E94-3D8027E5D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2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656"/>
        <c:crossesAt val="0"/>
        <c:crossBetween val="midCat"/>
      </c:valAx>
      <c:valAx>
        <c:axId val="586526656"/>
        <c:scaling>
          <c:logBase val="10"/>
          <c:orientation val="minMax"/>
          <c:max val="0.1"/>
          <c:min val="1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BO"/>
          </a:p>
        </c:txPr>
        <c:crossAx val="586526080"/>
        <c:crossesAt val="0"/>
        <c:crossBetween val="midCat"/>
      </c:valAx>
      <c:valAx>
        <c:axId val="586527232"/>
        <c:scaling>
          <c:logBase val="10"/>
          <c:orientation val="minMax"/>
          <c:max val="0.1"/>
          <c:min val="1E-3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2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BO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7969734251968505"/>
          <c:y val="0.12638049276098554"/>
          <c:w val="0.20235714392033699"/>
          <c:h val="0.18836368110236221"/>
        </c:manualLayout>
      </c:layout>
      <c:overlay val="0"/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</xdr:row>
      <xdr:rowOff>128214</xdr:rowOff>
    </xdr:from>
    <xdr:to>
      <xdr:col>10</xdr:col>
      <xdr:colOff>0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Rectangle 1" descr="1c3801b2-ad66-49a8-af68-77037bdbbe9c"/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BO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Rectangle 1" descr="1c3801b2-ad66-49a8-af68-77037bdbbe9c"/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×〖</a:t>
              </a:r>
              <a:r>
                <a:rPr lang="es-BO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10</xdr:col>
      <xdr:colOff>31047</xdr:colOff>
      <xdr:row>1</xdr:row>
      <xdr:rowOff>123854</xdr:rowOff>
    </xdr:from>
    <xdr:to>
      <xdr:col>10</xdr:col>
      <xdr:colOff>702962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Rectangle 2" descr="fdfa3f7c-a1fd-4e8b-b7bc-1ff240680ba6"/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" name="Rectangle 2" descr="fdfa3f7c-a1fd-4e8b-b7bc-1ff240680ba6"/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×𝑇_(𝑐,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11</xdr:col>
      <xdr:colOff>45720</xdr:colOff>
      <xdr:row>1</xdr:row>
      <xdr:rowOff>123854</xdr:rowOff>
    </xdr:from>
    <xdr:to>
      <xdr:col>11</xdr:col>
      <xdr:colOff>720841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Rectangle 3" descr="c2ad3cc2-c596-4e78-8b67-6690d66cf7f9"/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Rectangle 3" descr="c2ad3cc2-c596-4e78-8b67-6690d66cf7f9"/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×𝑃_(𝑐,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12</xdr:col>
      <xdr:colOff>53340</xdr:colOff>
      <xdr:row>1</xdr:row>
      <xdr:rowOff>123854</xdr:rowOff>
    </xdr:from>
    <xdr:to>
      <xdr:col>12</xdr:col>
      <xdr:colOff>728461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Rectangle 4" descr="4271f853-1735-4920-aeeb-95094ebbd0f6"/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Rectangle 4" descr="4271f853-1735-4920-aeeb-95094ebbd0f6"/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×𝜔_(𝑐,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oneCellAnchor>
    <xdr:from>
      <xdr:col>2</xdr:col>
      <xdr:colOff>79343</xdr:colOff>
      <xdr:row>20</xdr:row>
      <xdr:rowOff>27463</xdr:rowOff>
    </xdr:from>
    <xdr:ext cx="362535" cy="4650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BO" sz="1100" i="0">
                  <a:latin typeface="Cambria Math" panose="02040503050406030204" pitchFamily="18" charset="0"/>
                </a:rPr>
                <a:t>∑</a:t>
              </a:r>
              <a:r>
                <a:rPr lang="es-BO" sz="1100" b="0" i="0">
                  <a:latin typeface="Cambria Math" panose="02040503050406030204" pitchFamily="18" charset="0"/>
                </a:rPr>
                <a:t>_(𝑖=1)^𝑛▒𝑦_𝑖 </a:t>
              </a:r>
              <a:endParaRPr lang="es-BO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10</xdr:row>
      <xdr:rowOff>53340</xdr:rowOff>
    </xdr:from>
    <xdr:to>
      <xdr:col>14</xdr:col>
      <xdr:colOff>1226820</xdr:colOff>
      <xdr:row>12</xdr:row>
      <xdr:rowOff>149694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23"/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9" name="TextBox 23"/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𝑇_(𝑐,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13</xdr:row>
      <xdr:rowOff>22860</xdr:rowOff>
    </xdr:from>
    <xdr:to>
      <xdr:col>14</xdr:col>
      <xdr:colOff>1226820</xdr:colOff>
      <xdr:row>15</xdr:row>
      <xdr:rowOff>119214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3"/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1" name="TextBox 23"/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16</xdr:row>
      <xdr:rowOff>38100</xdr:rowOff>
    </xdr:from>
    <xdr:to>
      <xdr:col>14</xdr:col>
      <xdr:colOff>1226820</xdr:colOff>
      <xdr:row>18</xdr:row>
      <xdr:rowOff>134454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23"/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2" name="TextBox 23"/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𝜔_(𝑐,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4</xdr:row>
      <xdr:rowOff>45720</xdr:rowOff>
    </xdr:from>
    <xdr:to>
      <xdr:col>15</xdr:col>
      <xdr:colOff>15240</xdr:colOff>
      <xdr:row>6</xdr:row>
      <xdr:rowOff>142074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23"/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3" name="TextBox 23"/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7</xdr:row>
      <xdr:rowOff>121920</xdr:rowOff>
    </xdr:from>
    <xdr:to>
      <xdr:col>14</xdr:col>
      <xdr:colOff>1226820</xdr:colOff>
      <xdr:row>9</xdr:row>
      <xdr:rowOff>76889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23"/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4" name="TextBox 23"/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14</xdr:row>
      <xdr:rowOff>7620</xdr:rowOff>
    </xdr:from>
    <xdr:to>
      <xdr:col>18</xdr:col>
      <xdr:colOff>2476500</xdr:colOff>
      <xdr:row>15</xdr:row>
      <xdr:rowOff>7354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5"/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7" name="TextBox 5"/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𝑇_𝑝𝑐−𝜀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16</xdr:row>
      <xdr:rowOff>51300</xdr:rowOff>
    </xdr:from>
    <xdr:to>
      <xdr:col>18</xdr:col>
      <xdr:colOff>1805940</xdr:colOff>
      <xdr:row>18</xdr:row>
      <xdr:rowOff>78148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6"/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′</m:t>
                            </m:r>
                          </m:sup>
                        </m:sSubSup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𝑝𝑐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</m:d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8" name="TextBox 6"/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 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)/[𝑇_𝑝𝑐+𝐵(1−𝐵)𝜀]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6</xdr:row>
      <xdr:rowOff>99060</xdr:rowOff>
    </xdr:from>
    <xdr:to>
      <xdr:col>18</xdr:col>
      <xdr:colOff>1241825</xdr:colOff>
      <xdr:row>7</xdr:row>
      <xdr:rowOff>106744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3"/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𝐴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𝐶𝑂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0" name="TextBox 3"/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𝑦_(〖𝐶𝑂〗_2 )+𝑦_(𝐻_2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8</xdr:row>
      <xdr:rowOff>117106</xdr:rowOff>
    </xdr:from>
    <xdr:to>
      <xdr:col>18</xdr:col>
      <xdr:colOff>1241826</xdr:colOff>
      <xdr:row>9</xdr:row>
      <xdr:rowOff>117994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4"/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1" name="TextBox 4"/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𝐵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10</xdr:row>
      <xdr:rowOff>121921</xdr:rowOff>
    </xdr:from>
    <xdr:to>
      <xdr:col>18</xdr:col>
      <xdr:colOff>2331720</xdr:colOff>
      <xdr:row>11</xdr:row>
      <xdr:rowOff>116782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"/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=120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1.6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+15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0.5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2" name="TextBox 2"/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120(𝐴^0.9−𝐴^1.6 )+15(𝐵^0.5−𝐵^4 )</a:t>
              </a:r>
              <a:endParaRPr lang="es-BO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6</xdr:row>
      <xdr:rowOff>38100</xdr:rowOff>
    </xdr:from>
    <xdr:to>
      <xdr:col>2</xdr:col>
      <xdr:colOff>723900</xdr:colOff>
      <xdr:row>8</xdr:row>
      <xdr:rowOff>97374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3"/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TextBox 23"/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𝑇/𝑇_𝑝𝑐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3</xdr:col>
      <xdr:colOff>91440</xdr:colOff>
      <xdr:row>6</xdr:row>
      <xdr:rowOff>45720</xdr:rowOff>
    </xdr:from>
    <xdr:to>
      <xdr:col>3</xdr:col>
      <xdr:colOff>693420</xdr:colOff>
      <xdr:row>8</xdr:row>
      <xdr:rowOff>104994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3"/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3" name="TextBox 23"/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𝑃/𝑃_𝑝𝑐 </a:t>
              </a:r>
              <a:endParaRPr lang="es-BO" sz="1100"/>
            </a:p>
          </xdr:txBody>
        </xdr:sp>
      </mc:Fallback>
    </mc:AlternateContent>
    <xdr:clientData/>
  </xdr:twoCellAnchor>
  <xdr:twoCellAnchor editAs="oneCell">
    <xdr:from>
      <xdr:col>21</xdr:col>
      <xdr:colOff>0</xdr:colOff>
      <xdr:row>6</xdr:row>
      <xdr:rowOff>0</xdr:rowOff>
    </xdr:from>
    <xdr:to>
      <xdr:col>34</xdr:col>
      <xdr:colOff>518340</xdr:colOff>
      <xdr:row>30</xdr:row>
      <xdr:rowOff>122851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49400" y="914400"/>
          <a:ext cx="7650660" cy="37804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12700</xdr:rowOff>
    </xdr:from>
    <xdr:to>
      <xdr:col>10</xdr:col>
      <xdr:colOff>0</xdr:colOff>
      <xdr:row>24</xdr:row>
      <xdr:rowOff>12700</xdr:rowOff>
    </xdr:to>
    <xdr:graphicFrame macro="">
      <xdr:nvGraphicFramePr>
        <xdr:cNvPr id="3" name="ZFact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3</xdr:row>
      <xdr:rowOff>12700</xdr:rowOff>
    </xdr:from>
    <xdr:to>
      <xdr:col>27</xdr:col>
      <xdr:colOff>0</xdr:colOff>
      <xdr:row>24</xdr:row>
      <xdr:rowOff>12700</xdr:rowOff>
    </xdr:to>
    <xdr:graphicFrame macro="">
      <xdr:nvGraphicFramePr>
        <xdr:cNvPr id="4" name="GasVisco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24</xdr:row>
      <xdr:rowOff>12700</xdr:rowOff>
    </xdr:from>
    <xdr:to>
      <xdr:col>10</xdr:col>
      <xdr:colOff>0</xdr:colOff>
      <xdr:row>45</xdr:row>
      <xdr:rowOff>12700</xdr:rowOff>
    </xdr:to>
    <xdr:graphicFrame macro="">
      <xdr:nvGraphicFramePr>
        <xdr:cNvPr id="5" name="B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0</xdr:colOff>
      <xdr:row>24</xdr:row>
      <xdr:rowOff>12700</xdr:rowOff>
    </xdr:from>
    <xdr:to>
      <xdr:col>27</xdr:col>
      <xdr:colOff>0</xdr:colOff>
      <xdr:row>45</xdr:row>
      <xdr:rowOff>12700</xdr:rowOff>
    </xdr:to>
    <xdr:graphicFrame macro="">
      <xdr:nvGraphicFramePr>
        <xdr:cNvPr id="6" name="GasDensit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57150</xdr:rowOff>
        </xdr:from>
        <xdr:to>
          <xdr:col>12</xdr:col>
          <xdr:colOff>171450</xdr:colOff>
          <xdr:row>2</xdr:row>
          <xdr:rowOff>114300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0</xdr:row>
          <xdr:rowOff>133350</xdr:rowOff>
        </xdr:from>
        <xdr:to>
          <xdr:col>18</xdr:col>
          <xdr:colOff>38100</xdr:colOff>
          <xdr:row>2</xdr:row>
          <xdr:rowOff>66675</xdr:rowOff>
        </xdr:to>
        <xdr:sp macro="" textlink="">
          <xdr:nvSpPr>
            <xdr:cNvPr id="6146" name="Option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133350</xdr:rowOff>
        </xdr:from>
        <xdr:to>
          <xdr:col>22</xdr:col>
          <xdr:colOff>228600</xdr:colOff>
          <xdr:row>2</xdr:row>
          <xdr:rowOff>66675</xdr:rowOff>
        </xdr:to>
        <xdr:sp macro="" textlink="">
          <xdr:nvSpPr>
            <xdr:cNvPr id="6147" name="OptionButton2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27</xdr:col>
      <xdr:colOff>0</xdr:colOff>
      <xdr:row>3</xdr:row>
      <xdr:rowOff>0</xdr:rowOff>
    </xdr:from>
    <xdr:to>
      <xdr:col>36</xdr:col>
      <xdr:colOff>257175</xdr:colOff>
      <xdr:row>24</xdr:row>
      <xdr:rowOff>0</xdr:rowOff>
    </xdr:to>
    <xdr:graphicFrame macro="">
      <xdr:nvGraphicFramePr>
        <xdr:cNvPr id="9" name="E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12700</xdr:rowOff>
    </xdr:from>
    <xdr:to>
      <xdr:col>15</xdr:col>
      <xdr:colOff>0</xdr:colOff>
      <xdr:row>28</xdr:row>
      <xdr:rowOff>12700</xdr:rowOff>
    </xdr:to>
    <xdr:graphicFrame macro="">
      <xdr:nvGraphicFramePr>
        <xdr:cNvPr id="2" name="ZFacto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0</xdr:colOff>
      <xdr:row>1</xdr:row>
      <xdr:rowOff>12700</xdr:rowOff>
    </xdr:from>
    <xdr:to>
      <xdr:col>22</xdr:col>
      <xdr:colOff>0</xdr:colOff>
      <xdr:row>28</xdr:row>
      <xdr:rowOff>12700</xdr:rowOff>
    </xdr:to>
    <xdr:graphicFrame macro="">
      <xdr:nvGraphicFramePr>
        <xdr:cNvPr id="4" name="E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0</xdr:colOff>
      <xdr:row>1</xdr:row>
      <xdr:rowOff>12700</xdr:rowOff>
    </xdr:from>
    <xdr:to>
      <xdr:col>30</xdr:col>
      <xdr:colOff>0</xdr:colOff>
      <xdr:row>28</xdr:row>
      <xdr:rowOff>12700</xdr:rowOff>
    </xdr:to>
    <xdr:graphicFrame macro="">
      <xdr:nvGraphicFramePr>
        <xdr:cNvPr id="5" name="B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E7"/>
  <sheetViews>
    <sheetView showGridLines="0" workbookViewId="0">
      <selection activeCell="D10" sqref="D10"/>
    </sheetView>
  </sheetViews>
  <sheetFormatPr defaultRowHeight="12" x14ac:dyDescent="0.2"/>
  <cols>
    <col min="2" max="2" width="4.5703125" customWidth="1"/>
    <col min="3" max="3" width="64.5703125" customWidth="1"/>
    <col min="4" max="4" width="24" customWidth="1"/>
    <col min="5" max="5" width="43" customWidth="1"/>
  </cols>
  <sheetData>
    <row r="2" spans="2:5" x14ac:dyDescent="0.2">
      <c r="B2" s="299"/>
      <c r="C2" s="296" t="s">
        <v>129</v>
      </c>
      <c r="D2" s="296" t="s">
        <v>120</v>
      </c>
      <c r="E2" s="297" t="s">
        <v>121</v>
      </c>
    </row>
    <row r="3" spans="2:5" x14ac:dyDescent="0.2">
      <c r="B3" s="300" t="s">
        <v>110</v>
      </c>
      <c r="C3" s="301" t="s">
        <v>112</v>
      </c>
      <c r="D3" s="301" t="s">
        <v>33</v>
      </c>
      <c r="E3" s="302" t="s">
        <v>126</v>
      </c>
    </row>
    <row r="4" spans="2:5" x14ac:dyDescent="0.2">
      <c r="B4" s="303" t="s">
        <v>111</v>
      </c>
      <c r="C4" s="298" t="s">
        <v>113</v>
      </c>
      <c r="D4" s="298" t="s">
        <v>33</v>
      </c>
      <c r="E4" s="304" t="s">
        <v>124</v>
      </c>
    </row>
    <row r="5" spans="2:5" x14ac:dyDescent="0.2">
      <c r="B5" s="303" t="s">
        <v>117</v>
      </c>
      <c r="C5" s="298" t="s">
        <v>114</v>
      </c>
      <c r="D5" s="298" t="s">
        <v>122</v>
      </c>
      <c r="E5" s="304" t="s">
        <v>123</v>
      </c>
    </row>
    <row r="6" spans="2:5" x14ac:dyDescent="0.2">
      <c r="B6" s="303" t="s">
        <v>118</v>
      </c>
      <c r="C6" s="298" t="s">
        <v>115</v>
      </c>
      <c r="D6" s="298" t="s">
        <v>125</v>
      </c>
      <c r="E6" s="304" t="s">
        <v>126</v>
      </c>
    </row>
    <row r="7" spans="2:5" x14ac:dyDescent="0.2">
      <c r="B7" s="305" t="s">
        <v>119</v>
      </c>
      <c r="C7" s="306" t="s">
        <v>116</v>
      </c>
      <c r="D7" s="306" t="s">
        <v>127</v>
      </c>
      <c r="E7" s="307" t="s">
        <v>128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showGridLines="0" workbookViewId="0">
      <selection activeCell="U13" sqref="U13"/>
    </sheetView>
  </sheetViews>
  <sheetFormatPr defaultColWidth="9" defaultRowHeight="12" x14ac:dyDescent="0.2"/>
  <cols>
    <col min="1" max="1" width="1.42578125" style="2" customWidth="1"/>
    <col min="2" max="2" width="16.7109375" style="2" customWidth="1"/>
    <col min="3" max="3" width="7.42578125" style="2" customWidth="1"/>
    <col min="4" max="4" width="11.85546875" style="12" customWidth="1"/>
    <col min="5" max="7" width="7.85546875" style="12" customWidth="1"/>
    <col min="8" max="8" width="8.42578125" style="12" customWidth="1"/>
    <col min="9" max="9" width="1.28515625" style="2" customWidth="1"/>
    <col min="10" max="13" width="12.42578125" style="2" customWidth="1"/>
    <col min="14" max="14" width="1.28515625" style="2" customWidth="1"/>
    <col min="15" max="15" width="21.85546875" style="2" customWidth="1"/>
    <col min="16" max="16" width="10.42578125" style="2" customWidth="1"/>
    <col min="17" max="17" width="4.140625" style="2" customWidth="1"/>
    <col min="18" max="18" width="1.7109375" style="2" customWidth="1"/>
    <col min="19" max="19" width="41.7109375" style="2" customWidth="1"/>
    <col min="20" max="20" width="9" style="2"/>
    <col min="21" max="21" width="7.42578125" style="2" customWidth="1"/>
    <col min="22" max="16384" width="9" style="2"/>
  </cols>
  <sheetData>
    <row r="1" spans="1:21" ht="13.9" customHeight="1" x14ac:dyDescent="0.2">
      <c r="A1" s="42">
        <v>1000</v>
      </c>
      <c r="B1" s="101" t="s">
        <v>71</v>
      </c>
      <c r="S1" s="64"/>
    </row>
    <row r="2" spans="1:21" ht="11.45" customHeight="1" x14ac:dyDescent="0.2">
      <c r="B2" s="253" t="s">
        <v>0</v>
      </c>
      <c r="C2" s="256" t="s">
        <v>1</v>
      </c>
      <c r="D2" s="13" t="s">
        <v>33</v>
      </c>
      <c r="E2" s="13" t="s">
        <v>27</v>
      </c>
      <c r="F2" s="13" t="s">
        <v>28</v>
      </c>
      <c r="G2" s="13" t="s">
        <v>29</v>
      </c>
      <c r="H2" s="250" t="s">
        <v>32</v>
      </c>
      <c r="J2" s="24"/>
      <c r="K2" s="25"/>
      <c r="L2" s="26"/>
      <c r="M2" s="26"/>
      <c r="O2" s="241" t="s">
        <v>39</v>
      </c>
      <c r="P2" s="242"/>
      <c r="Q2" s="243"/>
      <c r="S2" s="241" t="s">
        <v>69</v>
      </c>
      <c r="T2" s="242"/>
      <c r="U2" s="243"/>
    </row>
    <row r="3" spans="1:21" ht="11.45" customHeight="1" x14ac:dyDescent="0.2">
      <c r="B3" s="254"/>
      <c r="C3" s="257"/>
      <c r="D3" s="22" t="s">
        <v>38</v>
      </c>
      <c r="E3" s="21"/>
      <c r="F3" s="21"/>
      <c r="G3" s="21"/>
      <c r="H3" s="251"/>
      <c r="J3" s="27"/>
      <c r="K3" s="28"/>
      <c r="L3" s="29"/>
      <c r="M3" s="29"/>
      <c r="O3" s="244"/>
      <c r="P3" s="245"/>
      <c r="Q3" s="246"/>
      <c r="S3" s="244" t="s">
        <v>70</v>
      </c>
      <c r="T3" s="245"/>
      <c r="U3" s="246"/>
    </row>
    <row r="4" spans="1:21" ht="12" customHeight="1" x14ac:dyDescent="0.2">
      <c r="B4" s="255"/>
      <c r="C4" s="258"/>
      <c r="D4" s="14" t="s">
        <v>34</v>
      </c>
      <c r="E4" s="14"/>
      <c r="F4" s="15" t="s">
        <v>30</v>
      </c>
      <c r="G4" s="14" t="s">
        <v>31</v>
      </c>
      <c r="H4" s="252"/>
      <c r="J4" s="128"/>
      <c r="K4" s="129"/>
      <c r="L4" s="130"/>
      <c r="M4" s="130"/>
      <c r="O4" s="247"/>
      <c r="P4" s="248"/>
      <c r="Q4" s="249"/>
      <c r="S4" s="247"/>
      <c r="T4" s="248"/>
      <c r="U4" s="249"/>
    </row>
    <row r="5" spans="1:21" ht="15.6" customHeight="1" x14ac:dyDescent="0.25">
      <c r="B5" s="6" t="s">
        <v>2</v>
      </c>
      <c r="C5" s="7" t="s">
        <v>35</v>
      </c>
      <c r="D5" s="157">
        <v>0.1</v>
      </c>
      <c r="E5" s="151">
        <v>44</v>
      </c>
      <c r="F5" s="16">
        <v>87.9</v>
      </c>
      <c r="G5" s="16">
        <v>1071</v>
      </c>
      <c r="H5" s="32">
        <v>0.2276</v>
      </c>
      <c r="J5" s="131">
        <v>4.3999999999999997E-2</v>
      </c>
      <c r="K5" s="132">
        <v>8.7900000000000006E-2</v>
      </c>
      <c r="L5" s="133">
        <v>1.071</v>
      </c>
      <c r="M5" s="134">
        <v>2.276E-4</v>
      </c>
      <c r="O5" s="35"/>
      <c r="P5" s="235">
        <f>+SUM(J5:J19)</f>
        <v>19.118690400000002</v>
      </c>
      <c r="Q5" s="36"/>
      <c r="S5" s="66" t="s">
        <v>65</v>
      </c>
      <c r="T5" s="72">
        <f>+D5/100</f>
        <v>1E-3</v>
      </c>
      <c r="U5" s="67" t="s">
        <v>66</v>
      </c>
    </row>
    <row r="6" spans="1:21" ht="15.6" customHeight="1" x14ac:dyDescent="0.25">
      <c r="B6" s="8" t="s">
        <v>3</v>
      </c>
      <c r="C6" s="9" t="s">
        <v>36</v>
      </c>
      <c r="D6" s="158">
        <v>0</v>
      </c>
      <c r="E6" s="152">
        <v>34.1</v>
      </c>
      <c r="F6" s="17">
        <v>212.5</v>
      </c>
      <c r="G6" s="17">
        <v>1300</v>
      </c>
      <c r="H6" s="33">
        <v>8.2699999999999996E-2</v>
      </c>
      <c r="J6" s="135">
        <v>0</v>
      </c>
      <c r="K6" s="136">
        <v>0</v>
      </c>
      <c r="L6" s="137">
        <v>0</v>
      </c>
      <c r="M6" s="138">
        <v>0</v>
      </c>
      <c r="O6" s="37"/>
      <c r="P6" s="236"/>
      <c r="Q6" s="38"/>
      <c r="S6" s="68" t="s">
        <v>67</v>
      </c>
      <c r="T6" s="73">
        <f>+D6/100</f>
        <v>0</v>
      </c>
      <c r="U6" s="69" t="s">
        <v>66</v>
      </c>
    </row>
    <row r="7" spans="1:21" ht="15.6" customHeight="1" x14ac:dyDescent="0.25">
      <c r="B7" s="10" t="s">
        <v>4</v>
      </c>
      <c r="C7" s="11" t="s">
        <v>37</v>
      </c>
      <c r="D7" s="159">
        <v>2.1</v>
      </c>
      <c r="E7" s="153">
        <v>28.0124</v>
      </c>
      <c r="F7" s="18">
        <v>-232.5</v>
      </c>
      <c r="G7" s="18">
        <v>493.1</v>
      </c>
      <c r="H7" s="34">
        <v>4.0300000000000002E-2</v>
      </c>
      <c r="J7" s="139">
        <v>0.58826040000000002</v>
      </c>
      <c r="K7" s="140">
        <v>-4.8825000000000003</v>
      </c>
      <c r="L7" s="141">
        <v>10.355100000000002</v>
      </c>
      <c r="M7" s="142">
        <v>8.4630000000000013E-4</v>
      </c>
      <c r="O7" s="39"/>
      <c r="P7" s="237"/>
      <c r="Q7" s="40"/>
      <c r="S7" s="266"/>
      <c r="T7" s="268">
        <f>+T6+T5</f>
        <v>1E-3</v>
      </c>
      <c r="U7" s="262"/>
    </row>
    <row r="8" spans="1:21" ht="15.6" customHeight="1" x14ac:dyDescent="0.25">
      <c r="B8" s="5" t="s">
        <v>5</v>
      </c>
      <c r="C8" s="1" t="s">
        <v>6</v>
      </c>
      <c r="D8" s="160">
        <v>86.1</v>
      </c>
      <c r="E8" s="154">
        <v>16</v>
      </c>
      <c r="F8" s="19">
        <v>-116.7</v>
      </c>
      <c r="G8" s="19">
        <v>666.4</v>
      </c>
      <c r="H8" s="30">
        <v>1.0800000000000001E-2</v>
      </c>
      <c r="J8" s="143">
        <v>13.776</v>
      </c>
      <c r="K8" s="144">
        <v>-100.4787</v>
      </c>
      <c r="L8" s="145">
        <v>573.7704</v>
      </c>
      <c r="M8" s="146">
        <v>9.2988000000000012E-3</v>
      </c>
      <c r="O8" s="35"/>
      <c r="P8" s="259">
        <f>+P5/28.967</f>
        <v>0.66001623916870933</v>
      </c>
      <c r="Q8" s="36"/>
      <c r="S8" s="267"/>
      <c r="T8" s="269"/>
      <c r="U8" s="263"/>
    </row>
    <row r="9" spans="1:21" ht="15.6" customHeight="1" x14ac:dyDescent="0.25">
      <c r="B9" s="5" t="s">
        <v>7</v>
      </c>
      <c r="C9" s="1" t="s">
        <v>8</v>
      </c>
      <c r="D9" s="160">
        <v>5.9</v>
      </c>
      <c r="E9" s="154">
        <v>30.07</v>
      </c>
      <c r="F9" s="19">
        <v>89.9</v>
      </c>
      <c r="G9" s="19">
        <v>706.5</v>
      </c>
      <c r="H9" s="30">
        <v>9.9000000000000005E-2</v>
      </c>
      <c r="J9" s="143">
        <v>1.7741300000000002</v>
      </c>
      <c r="K9" s="144">
        <v>5.3041000000000009</v>
      </c>
      <c r="L9" s="145">
        <v>41.683500000000002</v>
      </c>
      <c r="M9" s="146">
        <v>5.8410000000000007E-3</v>
      </c>
      <c r="O9" s="37"/>
      <c r="P9" s="260"/>
      <c r="Q9" s="38"/>
      <c r="S9" s="266"/>
      <c r="T9" s="268">
        <f>+T6</f>
        <v>0</v>
      </c>
      <c r="U9" s="262"/>
    </row>
    <row r="10" spans="1:21" ht="15.6" customHeight="1" x14ac:dyDescent="0.25">
      <c r="B10" s="5" t="s">
        <v>9</v>
      </c>
      <c r="C10" s="1" t="s">
        <v>10</v>
      </c>
      <c r="D10" s="160">
        <v>3.6</v>
      </c>
      <c r="E10" s="154">
        <v>44.1</v>
      </c>
      <c r="F10" s="19">
        <v>206.1</v>
      </c>
      <c r="G10" s="19">
        <v>616</v>
      </c>
      <c r="H10" s="30">
        <v>0.1517</v>
      </c>
      <c r="J10" s="143">
        <v>1.5876000000000003</v>
      </c>
      <c r="K10" s="144">
        <v>7.4196000000000009</v>
      </c>
      <c r="L10" s="145">
        <v>22.176000000000002</v>
      </c>
      <c r="M10" s="146">
        <v>5.4612000000000011E-3</v>
      </c>
      <c r="O10" s="39"/>
      <c r="P10" s="261"/>
      <c r="Q10" s="40"/>
      <c r="S10" s="267"/>
      <c r="T10" s="269"/>
      <c r="U10" s="263"/>
    </row>
    <row r="11" spans="1:21" ht="15.6" customHeight="1" x14ac:dyDescent="0.25">
      <c r="B11" s="5" t="s">
        <v>11</v>
      </c>
      <c r="C11" s="1" t="s">
        <v>12</v>
      </c>
      <c r="D11" s="160">
        <v>1.7</v>
      </c>
      <c r="E11" s="154">
        <v>58.1</v>
      </c>
      <c r="F11" s="19">
        <v>305.60000000000002</v>
      </c>
      <c r="G11" s="19">
        <v>550.6</v>
      </c>
      <c r="H11" s="30">
        <v>0.19309999999999999</v>
      </c>
      <c r="J11" s="143">
        <v>0.98770000000000013</v>
      </c>
      <c r="K11" s="144">
        <v>5.1952000000000007</v>
      </c>
      <c r="L11" s="145">
        <v>9.3602000000000007</v>
      </c>
      <c r="M11" s="146">
        <v>3.2826999999999999E-3</v>
      </c>
      <c r="O11" s="35"/>
      <c r="P11" s="235">
        <f>+SUM(K5:K19)</f>
        <v>-85.425399999999996</v>
      </c>
      <c r="Q11" s="36"/>
      <c r="S11" s="266"/>
      <c r="T11" s="270">
        <f>120*(T7^0.9-T7^1.6)+15*(T9^0.5-T9^4)</f>
        <v>0.23752960596531225</v>
      </c>
      <c r="U11" s="264" t="s">
        <v>68</v>
      </c>
    </row>
    <row r="12" spans="1:21" ht="15.6" customHeight="1" x14ac:dyDescent="0.25">
      <c r="B12" s="5" t="s">
        <v>13</v>
      </c>
      <c r="C12" s="1" t="s">
        <v>12</v>
      </c>
      <c r="D12" s="160">
        <v>0</v>
      </c>
      <c r="E12" s="154">
        <v>58.1</v>
      </c>
      <c r="F12" s="19">
        <v>274.5</v>
      </c>
      <c r="G12" s="19">
        <v>527.9</v>
      </c>
      <c r="H12" s="30">
        <v>0.17699999999999999</v>
      </c>
      <c r="J12" s="143">
        <v>0</v>
      </c>
      <c r="K12" s="144">
        <v>0</v>
      </c>
      <c r="L12" s="145">
        <v>0</v>
      </c>
      <c r="M12" s="146">
        <v>0</v>
      </c>
      <c r="O12" s="37"/>
      <c r="P12" s="236"/>
      <c r="Q12" s="41" t="s">
        <v>30</v>
      </c>
      <c r="S12" s="267"/>
      <c r="T12" s="271"/>
      <c r="U12" s="265"/>
    </row>
    <row r="13" spans="1:21" ht="15.6" customHeight="1" x14ac:dyDescent="0.25">
      <c r="B13" s="5" t="s">
        <v>14</v>
      </c>
      <c r="C13" s="1" t="s">
        <v>15</v>
      </c>
      <c r="D13" s="160">
        <v>0.5</v>
      </c>
      <c r="E13" s="154">
        <v>72.2</v>
      </c>
      <c r="F13" s="19">
        <v>385.8</v>
      </c>
      <c r="G13" s="19">
        <v>488.6</v>
      </c>
      <c r="H13" s="30">
        <v>0.24859999999999999</v>
      </c>
      <c r="J13" s="143">
        <v>0.36100000000000004</v>
      </c>
      <c r="K13" s="144">
        <v>1.929</v>
      </c>
      <c r="L13" s="145">
        <v>2.4430000000000001</v>
      </c>
      <c r="M13" s="146">
        <v>1.243E-3</v>
      </c>
      <c r="O13" s="39"/>
      <c r="P13" s="237"/>
      <c r="Q13" s="40"/>
      <c r="S13" s="70" t="s">
        <v>64</v>
      </c>
      <c r="T13" s="74">
        <f>+P11+460</f>
        <v>374.57460000000003</v>
      </c>
      <c r="U13" s="71" t="s">
        <v>68</v>
      </c>
    </row>
    <row r="14" spans="1:21" ht="15.6" customHeight="1" x14ac:dyDescent="0.25">
      <c r="B14" s="5" t="s">
        <v>16</v>
      </c>
      <c r="C14" s="1" t="s">
        <v>15</v>
      </c>
      <c r="D14" s="160">
        <v>0</v>
      </c>
      <c r="E14" s="154">
        <v>72.2</v>
      </c>
      <c r="F14" s="19">
        <v>369.1</v>
      </c>
      <c r="G14" s="19">
        <v>490.4</v>
      </c>
      <c r="H14" s="30">
        <v>0.22750000000000001</v>
      </c>
      <c r="J14" s="143">
        <v>0</v>
      </c>
      <c r="K14" s="144">
        <v>0</v>
      </c>
      <c r="L14" s="145">
        <v>0</v>
      </c>
      <c r="M14" s="146">
        <v>0</v>
      </c>
      <c r="O14" s="35"/>
      <c r="P14" s="235">
        <f>+SUM(L5:L19)</f>
        <v>660.85919999999999</v>
      </c>
      <c r="Q14" s="36"/>
      <c r="S14" s="35"/>
      <c r="T14" s="235">
        <f>+T13-T11</f>
        <v>374.3370703940347</v>
      </c>
      <c r="U14" s="36"/>
    </row>
    <row r="15" spans="1:21" ht="15.6" customHeight="1" x14ac:dyDescent="0.25">
      <c r="B15" s="5" t="s">
        <v>17</v>
      </c>
      <c r="C15" s="1" t="s">
        <v>18</v>
      </c>
      <c r="D15" s="160">
        <v>0</v>
      </c>
      <c r="E15" s="154">
        <v>86.2</v>
      </c>
      <c r="F15" s="19">
        <v>453.6</v>
      </c>
      <c r="G15" s="19">
        <v>436.9</v>
      </c>
      <c r="H15" s="30">
        <v>0.30470000000000003</v>
      </c>
      <c r="J15" s="143">
        <v>0</v>
      </c>
      <c r="K15" s="144">
        <v>0</v>
      </c>
      <c r="L15" s="145">
        <v>0</v>
      </c>
      <c r="M15" s="146">
        <v>0</v>
      </c>
      <c r="O15" s="37"/>
      <c r="P15" s="236"/>
      <c r="Q15" s="38" t="s">
        <v>31</v>
      </c>
      <c r="S15" s="37"/>
      <c r="T15" s="236"/>
      <c r="U15" s="65" t="s">
        <v>68</v>
      </c>
    </row>
    <row r="16" spans="1:21" ht="15.6" customHeight="1" x14ac:dyDescent="0.25">
      <c r="B16" s="5" t="s">
        <v>19</v>
      </c>
      <c r="C16" s="1" t="s">
        <v>20</v>
      </c>
      <c r="D16" s="160">
        <v>0</v>
      </c>
      <c r="E16" s="154">
        <v>100.2</v>
      </c>
      <c r="F16" s="19">
        <v>512.70000000000005</v>
      </c>
      <c r="G16" s="19">
        <v>396.8</v>
      </c>
      <c r="H16" s="30">
        <v>0.34939999999999999</v>
      </c>
      <c r="J16" s="143">
        <v>0</v>
      </c>
      <c r="K16" s="144">
        <v>0</v>
      </c>
      <c r="L16" s="145">
        <v>0</v>
      </c>
      <c r="M16" s="146">
        <v>0</v>
      </c>
      <c r="O16" s="39"/>
      <c r="P16" s="237"/>
      <c r="Q16" s="40"/>
      <c r="S16" s="39"/>
      <c r="T16" s="237"/>
      <c r="U16" s="40"/>
    </row>
    <row r="17" spans="2:21" ht="15.6" customHeight="1" x14ac:dyDescent="0.25">
      <c r="B17" s="5" t="s">
        <v>21</v>
      </c>
      <c r="C17" s="1" t="s">
        <v>22</v>
      </c>
      <c r="D17" s="160">
        <v>0</v>
      </c>
      <c r="E17" s="154">
        <v>114.2</v>
      </c>
      <c r="F17" s="19">
        <v>564.20000000000005</v>
      </c>
      <c r="G17" s="19">
        <v>360.7</v>
      </c>
      <c r="H17" s="30">
        <v>0.3962</v>
      </c>
      <c r="J17" s="143">
        <v>0</v>
      </c>
      <c r="K17" s="144">
        <v>0</v>
      </c>
      <c r="L17" s="145">
        <v>0</v>
      </c>
      <c r="M17" s="146">
        <v>0</v>
      </c>
      <c r="O17" s="35"/>
      <c r="P17" s="238">
        <f>+SUM(M5:M19)</f>
        <v>2.6200600000000004E-2</v>
      </c>
      <c r="Q17" s="36"/>
      <c r="S17" s="35"/>
      <c r="T17" s="235">
        <f>(P14*T14)/(T13+T9*(1-T9)*T11)</f>
        <v>660.4401282706981</v>
      </c>
      <c r="U17" s="36"/>
    </row>
    <row r="18" spans="2:21" ht="15.6" customHeight="1" x14ac:dyDescent="0.25">
      <c r="B18" s="5" t="s">
        <v>23</v>
      </c>
      <c r="C18" s="1" t="s">
        <v>24</v>
      </c>
      <c r="D18" s="160">
        <v>0</v>
      </c>
      <c r="E18" s="154">
        <v>128.30000000000001</v>
      </c>
      <c r="F18" s="19">
        <v>610.70000000000005</v>
      </c>
      <c r="G18" s="19">
        <v>331.8</v>
      </c>
      <c r="H18" s="30">
        <v>0.43680000000000002</v>
      </c>
      <c r="J18" s="143">
        <v>0</v>
      </c>
      <c r="K18" s="144">
        <v>0</v>
      </c>
      <c r="L18" s="145">
        <v>0</v>
      </c>
      <c r="M18" s="146">
        <v>0</v>
      </c>
      <c r="O18" s="37"/>
      <c r="P18" s="239"/>
      <c r="Q18" s="38"/>
      <c r="S18" s="37"/>
      <c r="T18" s="236"/>
      <c r="U18" s="38" t="s">
        <v>31</v>
      </c>
    </row>
    <row r="19" spans="2:21" ht="15.6" customHeight="1" x14ac:dyDescent="0.25">
      <c r="B19" s="3" t="s">
        <v>25</v>
      </c>
      <c r="C19" s="4" t="s">
        <v>26</v>
      </c>
      <c r="D19" s="161">
        <v>0</v>
      </c>
      <c r="E19" s="155">
        <v>142.30000000000001</v>
      </c>
      <c r="F19" s="20">
        <v>652</v>
      </c>
      <c r="G19" s="20">
        <v>305.2</v>
      </c>
      <c r="H19" s="31">
        <v>0.48420000000000002</v>
      </c>
      <c r="J19" s="147">
        <v>0</v>
      </c>
      <c r="K19" s="148">
        <v>0</v>
      </c>
      <c r="L19" s="149">
        <v>0</v>
      </c>
      <c r="M19" s="150">
        <v>0</v>
      </c>
      <c r="O19" s="39"/>
      <c r="P19" s="240"/>
      <c r="Q19" s="40"/>
      <c r="S19" s="39"/>
      <c r="T19" s="237"/>
      <c r="U19" s="40"/>
    </row>
    <row r="21" spans="2:21" ht="41.45" customHeight="1" x14ac:dyDescent="0.2">
      <c r="C21" s="43"/>
      <c r="D21" s="44">
        <f>+SUM(D5:D19)</f>
        <v>100</v>
      </c>
      <c r="J21"/>
      <c r="K21"/>
      <c r="L21"/>
      <c r="M21"/>
      <c r="T21" s="23"/>
    </row>
    <row r="22" spans="2:21" x14ac:dyDescent="0.2">
      <c r="D22" s="2"/>
      <c r="E22" s="2"/>
      <c r="J22" s="23"/>
      <c r="K22" s="23"/>
      <c r="L22" s="23"/>
      <c r="M22" s="23"/>
    </row>
  </sheetData>
  <mergeCells count="22">
    <mergeCell ref="T17:T19"/>
    <mergeCell ref="S7:S8"/>
    <mergeCell ref="T7:T8"/>
    <mergeCell ref="S9:S10"/>
    <mergeCell ref="T9:T10"/>
    <mergeCell ref="T11:T12"/>
    <mergeCell ref="S11:S12"/>
    <mergeCell ref="T14:T16"/>
    <mergeCell ref="S2:U2"/>
    <mergeCell ref="S3:U4"/>
    <mergeCell ref="U7:U8"/>
    <mergeCell ref="U9:U10"/>
    <mergeCell ref="U11:U12"/>
    <mergeCell ref="P14:P16"/>
    <mergeCell ref="P17:P19"/>
    <mergeCell ref="O2:Q4"/>
    <mergeCell ref="H2:H4"/>
    <mergeCell ref="B2:B4"/>
    <mergeCell ref="C2:C4"/>
    <mergeCell ref="P5:P7"/>
    <mergeCell ref="P8:P10"/>
    <mergeCell ref="P11:P1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10"/>
  <sheetViews>
    <sheetView showGridLines="0" workbookViewId="0">
      <selection activeCell="G5" sqref="G5"/>
    </sheetView>
  </sheetViews>
  <sheetFormatPr defaultColWidth="9" defaultRowHeight="12" x14ac:dyDescent="0.2"/>
  <cols>
    <col min="1" max="1" width="1.7109375" style="45" customWidth="1"/>
    <col min="2" max="2" width="14.28515625" style="47" customWidth="1"/>
    <col min="3" max="4" width="12.28515625" style="45" customWidth="1"/>
    <col min="5" max="6" width="10.7109375" style="47" customWidth="1"/>
    <col min="7" max="7" width="12.85546875" style="47" customWidth="1"/>
    <col min="8" max="20" width="10.7109375" style="47" customWidth="1"/>
    <col min="21" max="21" width="2.42578125" style="47" customWidth="1"/>
    <col min="22" max="16384" width="9" style="45"/>
  </cols>
  <sheetData>
    <row r="1" spans="1:20" x14ac:dyDescent="0.2">
      <c r="A1"/>
    </row>
    <row r="2" spans="1:20" x14ac:dyDescent="0.2">
      <c r="B2" s="57" t="s">
        <v>40</v>
      </c>
      <c r="C2" s="58">
        <v>60</v>
      </c>
      <c r="D2" s="59" t="s">
        <v>30</v>
      </c>
      <c r="G2" s="63"/>
      <c r="H2" s="63"/>
      <c r="I2" s="61"/>
    </row>
    <row r="3" spans="1:20" x14ac:dyDescent="0.2">
      <c r="B3" s="48" t="s">
        <v>41</v>
      </c>
      <c r="C3" s="49">
        <v>100</v>
      </c>
      <c r="D3" s="50" t="s">
        <v>31</v>
      </c>
      <c r="G3" s="63"/>
      <c r="I3" s="62"/>
    </row>
    <row r="4" spans="1:20" x14ac:dyDescent="0.2">
      <c r="B4" s="51" t="s">
        <v>42</v>
      </c>
      <c r="C4" s="52">
        <v>10000</v>
      </c>
      <c r="D4" s="53" t="s">
        <v>31</v>
      </c>
    </row>
    <row r="5" spans="1:20" x14ac:dyDescent="0.2">
      <c r="B5" s="54" t="s">
        <v>44</v>
      </c>
      <c r="C5" s="55">
        <v>100</v>
      </c>
      <c r="D5" s="56" t="s">
        <v>31</v>
      </c>
    </row>
    <row r="7" spans="1:20" x14ac:dyDescent="0.2">
      <c r="B7" s="78"/>
      <c r="C7" s="79"/>
      <c r="D7" s="80"/>
      <c r="E7" s="272" t="s">
        <v>45</v>
      </c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4"/>
      <c r="Q7" s="91"/>
      <c r="R7" s="92"/>
      <c r="S7" s="93" t="s">
        <v>46</v>
      </c>
      <c r="T7" s="93" t="s">
        <v>46</v>
      </c>
    </row>
    <row r="8" spans="1:20" x14ac:dyDescent="0.2">
      <c r="B8" s="81" t="s">
        <v>43</v>
      </c>
      <c r="C8" s="82"/>
      <c r="D8" s="83"/>
      <c r="E8" s="75"/>
      <c r="F8" s="76"/>
      <c r="G8" s="76"/>
      <c r="H8" s="76"/>
      <c r="I8" s="76"/>
      <c r="J8" s="77"/>
      <c r="K8" s="100" t="s">
        <v>47</v>
      </c>
      <c r="L8" s="76"/>
      <c r="M8" s="77"/>
      <c r="N8" s="75" t="s">
        <v>48</v>
      </c>
      <c r="O8" s="76"/>
      <c r="P8" s="76"/>
      <c r="Q8" s="94" t="s">
        <v>49</v>
      </c>
      <c r="R8" s="95" t="s">
        <v>49</v>
      </c>
      <c r="S8" s="96" t="s">
        <v>50</v>
      </c>
      <c r="T8" s="96" t="s">
        <v>51</v>
      </c>
    </row>
    <row r="9" spans="1:20" x14ac:dyDescent="0.2">
      <c r="B9" s="84" t="s">
        <v>31</v>
      </c>
      <c r="C9" s="85"/>
      <c r="D9" s="86"/>
      <c r="E9" s="87" t="s">
        <v>52</v>
      </c>
      <c r="F9" s="88" t="s">
        <v>53</v>
      </c>
      <c r="G9" s="89" t="s">
        <v>53</v>
      </c>
      <c r="H9" s="89" t="s">
        <v>54</v>
      </c>
      <c r="I9" s="89" t="s">
        <v>55</v>
      </c>
      <c r="J9" s="90" t="s">
        <v>56</v>
      </c>
      <c r="K9" s="87" t="s">
        <v>57</v>
      </c>
      <c r="L9" s="89" t="s">
        <v>38</v>
      </c>
      <c r="M9" s="90" t="s">
        <v>58</v>
      </c>
      <c r="N9" s="87" t="s">
        <v>59</v>
      </c>
      <c r="O9" s="89"/>
      <c r="P9" s="89"/>
      <c r="Q9" s="97" t="s">
        <v>60</v>
      </c>
      <c r="R9" s="98" t="s">
        <v>61</v>
      </c>
      <c r="S9" s="99" t="s">
        <v>62</v>
      </c>
      <c r="T9" s="99" t="s">
        <v>63</v>
      </c>
    </row>
    <row r="10" spans="1:20" x14ac:dyDescent="0.2">
      <c r="B10" s="47">
        <v>100</v>
      </c>
      <c r="C10" s="60">
        <v>1.3891223742618855</v>
      </c>
      <c r="D10" s="60">
        <v>0.15141417930167392</v>
      </c>
      <c r="E10" s="62">
        <v>0.41486284498481801</v>
      </c>
      <c r="F10" s="62">
        <v>0.85729303038297966</v>
      </c>
      <c r="G10" s="62">
        <v>11172.74360265728</v>
      </c>
      <c r="H10" s="62">
        <v>0.47320652437832872</v>
      </c>
      <c r="I10" s="127">
        <v>3.0757730974015206E-2</v>
      </c>
      <c r="J10" s="127">
        <v>8.4797550678082315E-3</v>
      </c>
      <c r="K10" s="62">
        <v>-0.99152024493219182</v>
      </c>
      <c r="L10" s="62">
        <v>1.3582502100368685E-2</v>
      </c>
      <c r="M10" s="62">
        <v>-1.8830203173715774E-4</v>
      </c>
      <c r="N10" s="62">
        <v>0.97782999999999998</v>
      </c>
      <c r="O10" s="62"/>
      <c r="P10" s="62"/>
      <c r="Q10" s="62">
        <v>2.5626968640000004E-2</v>
      </c>
      <c r="R10" s="62">
        <v>0.14389746279999999</v>
      </c>
      <c r="S10" s="62">
        <v>0.35028569792929765</v>
      </c>
      <c r="T10" s="62">
        <v>1.0573911632790811E-2</v>
      </c>
    </row>
    <row r="11" spans="1:20" x14ac:dyDescent="0.2">
      <c r="B11" s="47">
        <v>200</v>
      </c>
      <c r="C11" s="60">
        <v>1.3891223742618855</v>
      </c>
      <c r="D11" s="60">
        <v>0.30282835860334784</v>
      </c>
      <c r="E11" s="62">
        <v>0.41486284498481801</v>
      </c>
      <c r="F11" s="62">
        <v>0.85729303038297966</v>
      </c>
      <c r="G11" s="62">
        <v>11172.74360265728</v>
      </c>
      <c r="H11" s="62">
        <v>0.47320652437832872</v>
      </c>
      <c r="I11" s="62">
        <v>6.1515461948030412E-2</v>
      </c>
      <c r="J11" s="62">
        <v>1.6959510135616463E-2</v>
      </c>
      <c r="K11" s="62">
        <v>-0.98304048986438353</v>
      </c>
      <c r="L11" s="62">
        <v>2.6733566724677253E-2</v>
      </c>
      <c r="M11" s="62">
        <v>-7.5076913753258881E-4</v>
      </c>
      <c r="N11" s="62">
        <v>0.95589999999999997</v>
      </c>
      <c r="O11" s="62"/>
      <c r="P11" s="62"/>
      <c r="Q11" s="62">
        <v>1.2526113600000001E-2</v>
      </c>
      <c r="R11" s="62">
        <v>7.0335122E-2</v>
      </c>
      <c r="S11" s="62">
        <v>0.71664371588284359</v>
      </c>
      <c r="T11" s="62">
        <v>1.0724189586371672E-2</v>
      </c>
    </row>
    <row r="12" spans="1:20" x14ac:dyDescent="0.2">
      <c r="B12" s="47">
        <v>300</v>
      </c>
      <c r="C12" s="60">
        <v>1.3891223742618855</v>
      </c>
      <c r="D12" s="60">
        <v>0.45424253790502173</v>
      </c>
      <c r="E12" s="62">
        <v>0.41486284498481801</v>
      </c>
      <c r="F12" s="62">
        <v>0.85729303038297966</v>
      </c>
      <c r="G12" s="62">
        <v>11172.74360265728</v>
      </c>
      <c r="H12" s="62">
        <v>0.47320652437832872</v>
      </c>
      <c r="I12" s="62">
        <v>9.2273192922045638E-2</v>
      </c>
      <c r="J12" s="62">
        <v>2.5439265203424696E-2</v>
      </c>
      <c r="K12" s="62">
        <v>-0.97456073479657535</v>
      </c>
      <c r="L12" s="62">
        <v>3.9453193872925722E-2</v>
      </c>
      <c r="M12" s="62">
        <v>-1.6837428332622307E-3</v>
      </c>
      <c r="N12" s="62">
        <v>0.93425999999999998</v>
      </c>
      <c r="O12" s="62"/>
      <c r="P12" s="62"/>
      <c r="Q12" s="62">
        <v>8.1616953600000004E-3</v>
      </c>
      <c r="R12" s="62">
        <v>4.5828567199999996E-2</v>
      </c>
      <c r="S12" s="62">
        <v>1.0998646972134258</v>
      </c>
      <c r="T12" s="62">
        <v>1.0903590327381384E-2</v>
      </c>
    </row>
    <row r="13" spans="1:20" x14ac:dyDescent="0.2">
      <c r="B13" s="47">
        <v>400</v>
      </c>
      <c r="C13" s="60">
        <v>1.3891223742618855</v>
      </c>
      <c r="D13" s="60">
        <v>0.60565671720669567</v>
      </c>
      <c r="E13" s="62">
        <v>0.41486284498481801</v>
      </c>
      <c r="F13" s="62">
        <v>0.85729303038297966</v>
      </c>
      <c r="G13" s="62">
        <v>11172.74360265728</v>
      </c>
      <c r="H13" s="62">
        <v>0.47320652437832872</v>
      </c>
      <c r="I13" s="62">
        <v>0.12303092389606082</v>
      </c>
      <c r="J13" s="62">
        <v>3.3919020271232926E-2</v>
      </c>
      <c r="K13" s="62">
        <v>-0.96608097972876705</v>
      </c>
      <c r="L13" s="62">
        <v>5.1741383545114039E-2</v>
      </c>
      <c r="M13" s="62">
        <v>-2.9835646348020184E-3</v>
      </c>
      <c r="N13" s="62">
        <v>0.91298999999999997</v>
      </c>
      <c r="O13" s="62"/>
      <c r="P13" s="62"/>
      <c r="Q13" s="62">
        <v>5.9819104799999998E-3</v>
      </c>
      <c r="R13" s="62">
        <v>3.3588902099999998E-2</v>
      </c>
      <c r="S13" s="62">
        <v>1.5006511090207126</v>
      </c>
      <c r="T13" s="62">
        <v>1.1110026958125584E-2</v>
      </c>
    </row>
    <row r="14" spans="1:20" x14ac:dyDescent="0.2">
      <c r="B14" s="47">
        <v>500</v>
      </c>
      <c r="C14" s="60">
        <v>1.3891223742618855</v>
      </c>
      <c r="D14" s="60">
        <v>0.75707089650836956</v>
      </c>
      <c r="E14" s="62">
        <v>0.41486284498481801</v>
      </c>
      <c r="F14" s="62">
        <v>0.85729303038297966</v>
      </c>
      <c r="G14" s="62">
        <v>11172.74360265728</v>
      </c>
      <c r="H14" s="62">
        <v>0.47320652437832872</v>
      </c>
      <c r="I14" s="62">
        <v>0.15378865487007604</v>
      </c>
      <c r="J14" s="62">
        <v>4.2398775339041156E-2</v>
      </c>
      <c r="K14" s="62">
        <v>-0.95760122466095887</v>
      </c>
      <c r="L14" s="62">
        <v>6.3598135741242276E-2</v>
      </c>
      <c r="M14" s="62">
        <v>-4.646576058027891E-3</v>
      </c>
      <c r="N14" s="62">
        <v>0.89215</v>
      </c>
      <c r="O14" s="62"/>
      <c r="P14" s="62"/>
      <c r="Q14" s="62">
        <v>4.6762934400000006E-3</v>
      </c>
      <c r="R14" s="62">
        <v>2.6257758799999999E-2</v>
      </c>
      <c r="S14" s="62">
        <v>1.9196315866513762</v>
      </c>
      <c r="T14" s="62">
        <v>1.1343587967741138E-2</v>
      </c>
    </row>
    <row r="15" spans="1:20" x14ac:dyDescent="0.2">
      <c r="B15" s="47">
        <v>600</v>
      </c>
      <c r="C15" s="60">
        <v>1.3891223742618855</v>
      </c>
      <c r="D15" s="60">
        <v>0.90848507581004345</v>
      </c>
      <c r="E15" s="62">
        <v>0.41486284498481801</v>
      </c>
      <c r="F15" s="62">
        <v>0.85729303038297966</v>
      </c>
      <c r="G15" s="62">
        <v>11172.74360265728</v>
      </c>
      <c r="H15" s="62">
        <v>0.47320652437832872</v>
      </c>
      <c r="I15" s="62">
        <v>0.18454638584409128</v>
      </c>
      <c r="J15" s="62">
        <v>5.0878530406849393E-2</v>
      </c>
      <c r="K15" s="62">
        <v>-0.94912146959315058</v>
      </c>
      <c r="L15" s="62">
        <v>7.5023450461310398E-2</v>
      </c>
      <c r="M15" s="62">
        <v>-6.6691186188157859E-3</v>
      </c>
      <c r="N15" s="62">
        <v>0.87183999999999995</v>
      </c>
      <c r="O15" s="62"/>
      <c r="P15" s="62"/>
      <c r="Q15" s="62">
        <v>3.8081971200000001E-3</v>
      </c>
      <c r="R15" s="62">
        <v>2.1383329066666665E-2</v>
      </c>
      <c r="S15" s="62">
        <v>2.3572205726248288</v>
      </c>
      <c r="T15" s="62">
        <v>1.1605229450960777E-2</v>
      </c>
    </row>
    <row r="16" spans="1:20" x14ac:dyDescent="0.2">
      <c r="B16" s="47">
        <v>700</v>
      </c>
      <c r="C16" s="60">
        <v>1.3891223742618855</v>
      </c>
      <c r="D16" s="60">
        <v>1.0598992551117175</v>
      </c>
      <c r="E16" s="62">
        <v>0.41486284498481801</v>
      </c>
      <c r="F16" s="62">
        <v>0.85729303038297966</v>
      </c>
      <c r="G16" s="62">
        <v>11172.74360265728</v>
      </c>
      <c r="H16" s="62">
        <v>0.47320652437832872</v>
      </c>
      <c r="I16" s="62">
        <v>0.21530411681810646</v>
      </c>
      <c r="J16" s="62">
        <v>5.9358285474657616E-2</v>
      </c>
      <c r="K16" s="62">
        <v>-0.9406417145253424</v>
      </c>
      <c r="L16" s="62">
        <v>8.6017327705318378E-2</v>
      </c>
      <c r="M16" s="62">
        <v>-9.0475338330416356E-3</v>
      </c>
      <c r="N16" s="62">
        <v>0.85216000000000003</v>
      </c>
      <c r="O16" s="62"/>
      <c r="P16" s="62"/>
      <c r="Q16" s="62">
        <v>3.1904870399999999E-3</v>
      </c>
      <c r="R16" s="62">
        <v>1.7914837942857142E-2</v>
      </c>
      <c r="S16" s="62">
        <v>2.8136019621238213</v>
      </c>
      <c r="T16" s="62">
        <v>1.1896362130761721E-2</v>
      </c>
    </row>
    <row r="17" spans="2:20" x14ac:dyDescent="0.2">
      <c r="B17" s="47">
        <v>800</v>
      </c>
      <c r="C17" s="60">
        <v>1.3891223742618855</v>
      </c>
      <c r="D17" s="60">
        <v>1.2113134344133913</v>
      </c>
      <c r="E17" s="62">
        <v>0.41486284498481801</v>
      </c>
      <c r="F17" s="62">
        <v>0.85729303038297966</v>
      </c>
      <c r="G17" s="62">
        <v>11172.74360265728</v>
      </c>
      <c r="H17" s="62">
        <v>0.47320652437832872</v>
      </c>
      <c r="I17" s="62">
        <v>0.24606184779212165</v>
      </c>
      <c r="J17" s="62">
        <v>6.7838040542465852E-2</v>
      </c>
      <c r="K17" s="62">
        <v>-0.93216195945753411</v>
      </c>
      <c r="L17" s="62">
        <v>9.6579767473266215E-2</v>
      </c>
      <c r="M17" s="62">
        <v>-1.1778163216581379E-2</v>
      </c>
      <c r="N17" s="62">
        <v>0.83321999999999996</v>
      </c>
      <c r="O17" s="62"/>
      <c r="P17" s="62"/>
      <c r="Q17" s="62">
        <v>2.7296287200000002E-3</v>
      </c>
      <c r="R17" s="62">
        <v>1.5327081899999997E-2</v>
      </c>
      <c r="S17" s="62">
        <v>3.288637949220663</v>
      </c>
      <c r="T17" s="62">
        <v>1.2218609999579856E-2</v>
      </c>
    </row>
    <row r="18" spans="2:20" x14ac:dyDescent="0.2">
      <c r="B18" s="47">
        <v>900</v>
      </c>
      <c r="C18" s="60">
        <v>1.3891223742618855</v>
      </c>
      <c r="D18" s="60">
        <v>1.3627276137150652</v>
      </c>
      <c r="E18" s="62">
        <v>0.41486284498481801</v>
      </c>
      <c r="F18" s="62">
        <v>0.85729303038297966</v>
      </c>
      <c r="G18" s="62">
        <v>11172.74360265728</v>
      </c>
      <c r="H18" s="62">
        <v>0.47320652437832872</v>
      </c>
      <c r="I18" s="62">
        <v>0.27681957876613689</v>
      </c>
      <c r="J18" s="62">
        <v>7.6317795610274089E-2</v>
      </c>
      <c r="K18" s="62">
        <v>-0.92368220438972592</v>
      </c>
      <c r="L18" s="62">
        <v>0.10671076976515399</v>
      </c>
      <c r="M18" s="62">
        <v>-1.4857348285310958E-2</v>
      </c>
      <c r="N18" s="62">
        <v>0.81513000000000002</v>
      </c>
      <c r="O18" s="62"/>
      <c r="P18" s="62"/>
      <c r="Q18" s="62">
        <v>2.3736585600000002E-3</v>
      </c>
      <c r="R18" s="62">
        <v>1.33282812E-2</v>
      </c>
      <c r="S18" s="62">
        <v>3.781824710237442</v>
      </c>
      <c r="T18" s="62">
        <v>1.2573661863922619E-2</v>
      </c>
    </row>
    <row r="19" spans="2:20" x14ac:dyDescent="0.2">
      <c r="B19" s="47">
        <v>1000</v>
      </c>
      <c r="C19" s="60">
        <v>1.3891223742618855</v>
      </c>
      <c r="D19" s="60">
        <v>1.5141417930167391</v>
      </c>
      <c r="E19" s="62">
        <v>0.41486284498481801</v>
      </c>
      <c r="F19" s="62">
        <v>0.85729303038297966</v>
      </c>
      <c r="G19" s="62">
        <v>11172.74360265728</v>
      </c>
      <c r="H19" s="62">
        <v>0.47320652437832872</v>
      </c>
      <c r="I19" s="62">
        <v>0.30757730974015207</v>
      </c>
      <c r="J19" s="62">
        <v>8.4797550678082312E-2</v>
      </c>
      <c r="K19" s="62">
        <v>-0.91520244932191774</v>
      </c>
      <c r="L19" s="62">
        <v>0.11641033458098163</v>
      </c>
      <c r="M19" s="62">
        <v>-1.8281430555106299E-2</v>
      </c>
      <c r="N19" s="62">
        <v>0.79803999999999997</v>
      </c>
      <c r="O19" s="62"/>
      <c r="P19" s="62"/>
      <c r="Q19" s="62">
        <v>2.0915032320000001E-3</v>
      </c>
      <c r="R19" s="62">
        <v>1.1743956639999999E-2</v>
      </c>
      <c r="S19" s="62">
        <v>4.2920137337251907</v>
      </c>
      <c r="T19" s="62">
        <v>1.2962957119726729E-2</v>
      </c>
    </row>
    <row r="20" spans="2:20" x14ac:dyDescent="0.2">
      <c r="B20" s="47">
        <v>1100</v>
      </c>
      <c r="C20" s="60">
        <v>1.3891223742618855</v>
      </c>
      <c r="D20" s="60">
        <v>1.665555972318413</v>
      </c>
      <c r="E20" s="62">
        <v>0.41486284498481801</v>
      </c>
      <c r="F20" s="62">
        <v>0.85729303038297966</v>
      </c>
      <c r="G20" s="62">
        <v>11172.74360265728</v>
      </c>
      <c r="H20" s="62">
        <v>0.47320652437832872</v>
      </c>
      <c r="I20" s="62">
        <v>0.33833504071416726</v>
      </c>
      <c r="J20" s="62">
        <v>9.3277305745890549E-2</v>
      </c>
      <c r="K20" s="62">
        <v>-0.90672269425410945</v>
      </c>
      <c r="L20" s="62">
        <v>0.12567846192074913</v>
      </c>
      <c r="M20" s="62">
        <v>-2.2046751541843348E-2</v>
      </c>
      <c r="N20" s="62">
        <v>0.78207000000000004</v>
      </c>
      <c r="O20" s="62"/>
      <c r="P20" s="62"/>
      <c r="Q20" s="62">
        <v>1.8633173236363638E-3</v>
      </c>
      <c r="R20" s="62">
        <v>1.0462674654545454E-2</v>
      </c>
      <c r="S20" s="62">
        <v>4.8176231079932181</v>
      </c>
      <c r="T20" s="62">
        <v>1.3387708482068538E-2</v>
      </c>
    </row>
    <row r="21" spans="2:20" x14ac:dyDescent="0.2">
      <c r="B21" s="47">
        <v>1200</v>
      </c>
      <c r="C21" s="60">
        <v>1.3891223742618855</v>
      </c>
      <c r="D21" s="60">
        <v>1.8169701516200869</v>
      </c>
      <c r="E21" s="62">
        <v>0.41486284498481801</v>
      </c>
      <c r="F21" s="62">
        <v>0.85729303038297966</v>
      </c>
      <c r="G21" s="62">
        <v>11172.74360265728</v>
      </c>
      <c r="H21" s="62">
        <v>0.47320652437832872</v>
      </c>
      <c r="I21" s="62">
        <v>0.36909277168818255</v>
      </c>
      <c r="J21" s="62">
        <v>0.10175706081369879</v>
      </c>
      <c r="K21" s="62">
        <v>-0.89824293918630116</v>
      </c>
      <c r="L21" s="62">
        <v>0.13451515178445661</v>
      </c>
      <c r="M21" s="62">
        <v>-2.6149652761398048E-2</v>
      </c>
      <c r="N21" s="62">
        <v>0.76736000000000004</v>
      </c>
      <c r="O21" s="62"/>
      <c r="P21" s="62"/>
      <c r="Q21" s="62">
        <v>1.67591424E-3</v>
      </c>
      <c r="R21" s="62">
        <v>9.410391466666666E-3</v>
      </c>
      <c r="S21" s="62">
        <v>5.3563364888376528</v>
      </c>
      <c r="T21" s="62">
        <v>1.3848520832295437E-2</v>
      </c>
    </row>
    <row r="22" spans="2:20" x14ac:dyDescent="0.2">
      <c r="B22" s="47">
        <v>1300</v>
      </c>
      <c r="C22" s="60">
        <v>1.3891223742618855</v>
      </c>
      <c r="D22" s="60">
        <v>1.9683843309217608</v>
      </c>
      <c r="E22" s="62">
        <v>0.41486284498481801</v>
      </c>
      <c r="F22" s="62">
        <v>0.85729303038297966</v>
      </c>
      <c r="G22" s="62">
        <v>11172.74360265728</v>
      </c>
      <c r="H22" s="62">
        <v>0.47320652437832872</v>
      </c>
      <c r="I22" s="62">
        <v>0.39985050266219774</v>
      </c>
      <c r="J22" s="62">
        <v>0.11023681588150699</v>
      </c>
      <c r="K22" s="62">
        <v>-0.88976318411849298</v>
      </c>
      <c r="L22" s="62">
        <v>0.14292040417210394</v>
      </c>
      <c r="M22" s="62">
        <v>-3.0586475729646314E-2</v>
      </c>
      <c r="N22" s="62">
        <v>0.75402000000000002</v>
      </c>
      <c r="O22" s="62"/>
      <c r="P22" s="62"/>
      <c r="Q22" s="62">
        <v>1.5201043200000002E-3</v>
      </c>
      <c r="R22" s="62">
        <v>8.5355063999999984E-3</v>
      </c>
      <c r="S22" s="62">
        <v>5.9053582558561653</v>
      </c>
      <c r="T22" s="62">
        <v>1.4345420124304049E-2</v>
      </c>
    </row>
    <row r="23" spans="2:20" x14ac:dyDescent="0.2">
      <c r="B23" s="47">
        <v>1400</v>
      </c>
      <c r="C23" s="60">
        <v>1.3891223742618855</v>
      </c>
      <c r="D23" s="60">
        <v>2.1197985102234349</v>
      </c>
      <c r="E23" s="62">
        <v>0.41486284498481801</v>
      </c>
      <c r="F23" s="62">
        <v>0.85729303038297966</v>
      </c>
      <c r="G23" s="62">
        <v>11172.74360265728</v>
      </c>
      <c r="H23" s="62">
        <v>0.47320652437832872</v>
      </c>
      <c r="I23" s="62">
        <v>0.43060823363621292</v>
      </c>
      <c r="J23" s="62">
        <v>0.11871657094931523</v>
      </c>
      <c r="K23" s="62">
        <v>-0.8812834290506848</v>
      </c>
      <c r="L23" s="62">
        <v>0.15089421908369108</v>
      </c>
      <c r="M23" s="62">
        <v>-3.53535619624641E-2</v>
      </c>
      <c r="N23" s="62">
        <v>0.74214999999999998</v>
      </c>
      <c r="O23" s="62"/>
      <c r="P23" s="62"/>
      <c r="Q23" s="62">
        <v>1.3893048000000001E-3</v>
      </c>
      <c r="R23" s="62">
        <v>7.8010567142857137E-3</v>
      </c>
      <c r="S23" s="62">
        <v>6.4613327441714894</v>
      </c>
      <c r="T23" s="62">
        <v>1.4877602097269241E-2</v>
      </c>
    </row>
    <row r="24" spans="2:20" x14ac:dyDescent="0.2">
      <c r="B24" s="47">
        <v>1500</v>
      </c>
      <c r="C24" s="60">
        <v>1.3891223742618855</v>
      </c>
      <c r="D24" s="60">
        <v>2.2712126895251088</v>
      </c>
      <c r="E24" s="62">
        <v>0.41486284498481801</v>
      </c>
      <c r="F24" s="62">
        <v>0.85729303038297966</v>
      </c>
      <c r="G24" s="62">
        <v>11172.74360265728</v>
      </c>
      <c r="H24" s="62">
        <v>0.47320652437832872</v>
      </c>
      <c r="I24" s="62">
        <v>0.46136596461022811</v>
      </c>
      <c r="J24" s="62">
        <v>0.12719632601712347</v>
      </c>
      <c r="K24" s="62">
        <v>-0.8728036739828765</v>
      </c>
      <c r="L24" s="62">
        <v>0.1584365965192181</v>
      </c>
      <c r="M24" s="62">
        <v>-4.0447252975727328E-2</v>
      </c>
      <c r="N24" s="62">
        <v>0.73182999999999998</v>
      </c>
      <c r="O24" s="62"/>
      <c r="P24" s="62"/>
      <c r="Q24" s="62">
        <v>1.2786533760000001E-3</v>
      </c>
      <c r="R24" s="62">
        <v>7.1797401866666669E-3</v>
      </c>
      <c r="S24" s="62">
        <v>7.0204801116284887</v>
      </c>
      <c r="T24" s="62">
        <v>1.5443355159567591E-2</v>
      </c>
    </row>
    <row r="25" spans="2:20" x14ac:dyDescent="0.2">
      <c r="B25" s="47">
        <v>1600</v>
      </c>
      <c r="C25" s="60">
        <v>1.3891223742618855</v>
      </c>
      <c r="D25" s="60">
        <v>2.4226268688267827</v>
      </c>
      <c r="E25" s="62">
        <v>0.41486284498481801</v>
      </c>
      <c r="F25" s="62">
        <v>0.85729303038297966</v>
      </c>
      <c r="G25" s="62">
        <v>11172.74360265728</v>
      </c>
      <c r="H25" s="62">
        <v>0.47320652437832872</v>
      </c>
      <c r="I25" s="62">
        <v>0.49212369558424329</v>
      </c>
      <c r="J25" s="62">
        <v>0.1356760810849317</v>
      </c>
      <c r="K25" s="62">
        <v>-0.86432391891506832</v>
      </c>
      <c r="L25" s="62">
        <v>0.165547536478685</v>
      </c>
      <c r="M25" s="62">
        <v>-4.5863890285311959E-2</v>
      </c>
      <c r="N25" s="62">
        <v>0.72309999999999997</v>
      </c>
      <c r="O25" s="62"/>
      <c r="P25" s="62"/>
      <c r="Q25" s="62">
        <v>1.1844378E-3</v>
      </c>
      <c r="R25" s="62">
        <v>6.6507122499999995E-3</v>
      </c>
      <c r="S25" s="62">
        <v>7.5789210677628009</v>
      </c>
      <c r="T25" s="62">
        <v>1.604021218751633E-2</v>
      </c>
    </row>
    <row r="26" spans="2:20" x14ac:dyDescent="0.2">
      <c r="B26" s="47">
        <v>1700</v>
      </c>
      <c r="C26" s="60">
        <v>1.3891223742618855</v>
      </c>
      <c r="D26" s="60">
        <v>2.5740410481284566</v>
      </c>
      <c r="E26" s="62">
        <v>0.41486284498481801</v>
      </c>
      <c r="F26" s="62">
        <v>0.85729303038297966</v>
      </c>
      <c r="G26" s="62">
        <v>11172.74360265728</v>
      </c>
      <c r="H26" s="62">
        <v>0.47320652437832872</v>
      </c>
      <c r="I26" s="62">
        <v>0.52288142655825853</v>
      </c>
      <c r="J26" s="62">
        <v>0.14415583615273994</v>
      </c>
      <c r="K26" s="62">
        <v>-0.85584416384726003</v>
      </c>
      <c r="L26" s="62">
        <v>0.17222703896209185</v>
      </c>
      <c r="M26" s="62">
        <v>-5.1599815407093914E-2</v>
      </c>
      <c r="N26" s="62">
        <v>0.71594999999999998</v>
      </c>
      <c r="O26" s="62"/>
      <c r="P26" s="62"/>
      <c r="Q26" s="62">
        <v>1.1037422117647058E-3</v>
      </c>
      <c r="R26" s="62">
        <v>6.1976001176470589E-3</v>
      </c>
      <c r="S26" s="62">
        <v>8.1330228201766701</v>
      </c>
      <c r="T26" s="62">
        <v>1.6665227312655784E-2</v>
      </c>
    </row>
    <row r="27" spans="2:20" x14ac:dyDescent="0.2">
      <c r="B27" s="47">
        <v>1800</v>
      </c>
      <c r="C27" s="60">
        <v>1.3891223742618855</v>
      </c>
      <c r="D27" s="60">
        <v>2.7254552274301305</v>
      </c>
      <c r="E27" s="62">
        <v>0.41486284498481801</v>
      </c>
      <c r="F27" s="62">
        <v>0.85729303038297966</v>
      </c>
      <c r="G27" s="62">
        <v>11172.74360265728</v>
      </c>
      <c r="H27" s="62">
        <v>0.47320652437832872</v>
      </c>
      <c r="I27" s="62">
        <v>0.55363915753227377</v>
      </c>
      <c r="J27" s="62">
        <v>0.15263559122054818</v>
      </c>
      <c r="K27" s="62">
        <v>-0.84736440877945185</v>
      </c>
      <c r="L27" s="62">
        <v>0.17847510396943858</v>
      </c>
      <c r="M27" s="62">
        <v>-5.7651369856949138E-2</v>
      </c>
      <c r="N27" s="62">
        <v>0.71036999999999995</v>
      </c>
      <c r="O27" s="62"/>
      <c r="P27" s="62"/>
      <c r="Q27" s="62">
        <v>1.0342987200000001E-3</v>
      </c>
      <c r="R27" s="62">
        <v>5.8076693999999998E-3</v>
      </c>
      <c r="S27" s="62">
        <v>8.6790792856000287</v>
      </c>
      <c r="T27" s="62">
        <v>1.7314567984208856E-2</v>
      </c>
    </row>
    <row r="28" spans="2:20" x14ac:dyDescent="0.2">
      <c r="B28" s="47">
        <v>1900</v>
      </c>
      <c r="C28" s="60">
        <v>1.3891223742618855</v>
      </c>
      <c r="D28" s="60">
        <v>2.8768694067318044</v>
      </c>
      <c r="E28" s="62">
        <v>0.41486284498481801</v>
      </c>
      <c r="F28" s="62">
        <v>0.85729303038297966</v>
      </c>
      <c r="G28" s="62">
        <v>11172.74360265728</v>
      </c>
      <c r="H28" s="62">
        <v>0.47320652437832872</v>
      </c>
      <c r="I28" s="62">
        <v>0.58439688850628901</v>
      </c>
      <c r="J28" s="62">
        <v>0.16111534628835639</v>
      </c>
      <c r="K28" s="62">
        <v>-0.83888465371164367</v>
      </c>
      <c r="L28" s="62">
        <v>0.18429173150072525</v>
      </c>
      <c r="M28" s="62">
        <v>-6.4014895150753551E-2</v>
      </c>
      <c r="N28" s="62">
        <v>0.70628000000000002</v>
      </c>
      <c r="O28" s="62"/>
      <c r="P28" s="62"/>
      <c r="Q28" s="62">
        <v>9.7422032842105276E-4</v>
      </c>
      <c r="R28" s="62">
        <v>5.4703244631578943E-3</v>
      </c>
      <c r="S28" s="62">
        <v>9.2143022825478518</v>
      </c>
      <c r="T28" s="62">
        <v>1.7984681009526955E-2</v>
      </c>
    </row>
    <row r="29" spans="2:20" x14ac:dyDescent="0.2">
      <c r="B29" s="47">
        <v>2000</v>
      </c>
      <c r="C29" s="60">
        <v>1.3891223742618855</v>
      </c>
      <c r="D29" s="60">
        <v>3.0282835860334782</v>
      </c>
      <c r="E29" s="62">
        <v>0.41486284498481801</v>
      </c>
      <c r="F29" s="62">
        <v>0.85729303038297966</v>
      </c>
      <c r="G29" s="62">
        <v>11172.74360265728</v>
      </c>
      <c r="H29" s="62">
        <v>0.47320652437832872</v>
      </c>
      <c r="I29" s="62">
        <v>0.61515461948030414</v>
      </c>
      <c r="J29" s="62">
        <v>0.16959510135616462</v>
      </c>
      <c r="K29" s="62">
        <v>-0.83040489864383538</v>
      </c>
      <c r="L29" s="62">
        <v>0.18967692155595164</v>
      </c>
      <c r="M29" s="62">
        <v>-7.068673280438309E-2</v>
      </c>
      <c r="N29" s="62">
        <v>0.70360999999999996</v>
      </c>
      <c r="O29" s="62"/>
      <c r="P29" s="62"/>
      <c r="Q29" s="62">
        <v>9.2201054400000001E-4</v>
      </c>
      <c r="R29" s="62">
        <v>5.1771623799999993E-3</v>
      </c>
      <c r="S29" s="62">
        <v>9.7360715170678382</v>
      </c>
      <c r="T29" s="62">
        <v>1.8671504965979552E-2</v>
      </c>
    </row>
    <row r="30" spans="2:20" x14ac:dyDescent="0.2">
      <c r="B30" s="47">
        <v>2100</v>
      </c>
      <c r="C30" s="60">
        <v>1.3891223742618855</v>
      </c>
      <c r="D30" s="60">
        <v>3.1796977653351521</v>
      </c>
      <c r="E30" s="62">
        <v>0.41486284498481801</v>
      </c>
      <c r="F30" s="62">
        <v>0.85729303038297966</v>
      </c>
      <c r="G30" s="62">
        <v>11172.74360265728</v>
      </c>
      <c r="H30" s="62">
        <v>0.47320652437832872</v>
      </c>
      <c r="I30" s="62">
        <v>0.64591235045431938</v>
      </c>
      <c r="J30" s="62">
        <v>0.17807485642397286</v>
      </c>
      <c r="K30" s="62">
        <v>-0.82192514357602708</v>
      </c>
      <c r="L30" s="62">
        <v>0.194630674135118</v>
      </c>
      <c r="M30" s="62">
        <v>-7.7663224333713726E-2</v>
      </c>
      <c r="N30" s="62">
        <v>0.70225000000000004</v>
      </c>
      <c r="O30" s="62"/>
      <c r="P30" s="62"/>
      <c r="Q30" s="62">
        <v>8.7640800000000007E-4</v>
      </c>
      <c r="R30" s="62">
        <v>4.9211004761904762E-3</v>
      </c>
      <c r="S30" s="62">
        <v>10.242673042549386</v>
      </c>
      <c r="T30" s="62">
        <v>1.9371520859336164E-2</v>
      </c>
    </row>
    <row r="31" spans="2:20" x14ac:dyDescent="0.2">
      <c r="B31" s="47">
        <v>2200</v>
      </c>
      <c r="C31" s="60">
        <v>1.3891223742618855</v>
      </c>
      <c r="D31" s="60">
        <v>3.331111944636826</v>
      </c>
      <c r="E31" s="62">
        <v>0.41486284498481801</v>
      </c>
      <c r="F31" s="62">
        <v>0.85729303038297966</v>
      </c>
      <c r="G31" s="62">
        <v>11172.74360265728</v>
      </c>
      <c r="H31" s="62">
        <v>0.47320652437832872</v>
      </c>
      <c r="I31" s="62">
        <v>0.67667008142833451</v>
      </c>
      <c r="J31" s="62">
        <v>0.1865546114917811</v>
      </c>
      <c r="K31" s="62">
        <v>-0.8134453885082189</v>
      </c>
      <c r="L31" s="62">
        <v>0.19915298923822417</v>
      </c>
      <c r="M31" s="62">
        <v>-8.4940711254621354E-2</v>
      </c>
      <c r="N31" s="62">
        <v>0.70209999999999995</v>
      </c>
      <c r="O31" s="62"/>
      <c r="P31" s="62"/>
      <c r="Q31" s="62">
        <v>8.3639258181818189E-4</v>
      </c>
      <c r="R31" s="62">
        <v>4.6964107272727262E-3</v>
      </c>
      <c r="S31" s="62">
        <v>10.732711875995603</v>
      </c>
      <c r="T31" s="62">
        <v>2.008114842739887E-2</v>
      </c>
    </row>
    <row r="32" spans="2:20" x14ac:dyDescent="0.2">
      <c r="B32" s="47">
        <v>2300</v>
      </c>
      <c r="C32" s="60">
        <v>1.3891223742618855</v>
      </c>
      <c r="D32" s="60">
        <v>3.4825261239384999</v>
      </c>
      <c r="E32" s="62">
        <v>0.41486284498481801</v>
      </c>
      <c r="F32" s="62">
        <v>0.85729303038297966</v>
      </c>
      <c r="G32" s="62">
        <v>11172.74360265728</v>
      </c>
      <c r="H32" s="62">
        <v>0.47320652437832872</v>
      </c>
      <c r="I32" s="62">
        <v>0.70742781240234975</v>
      </c>
      <c r="J32" s="62">
        <v>0.19503436655958933</v>
      </c>
      <c r="K32" s="62">
        <v>-0.80496563344041072</v>
      </c>
      <c r="L32" s="62">
        <v>0.20324386686527032</v>
      </c>
      <c r="M32" s="62">
        <v>-9.2515535082981937E-2</v>
      </c>
      <c r="N32" s="62">
        <v>0.70304999999999995</v>
      </c>
      <c r="O32" s="62"/>
      <c r="P32" s="62"/>
      <c r="Q32" s="62">
        <v>8.0111019130434775E-4</v>
      </c>
      <c r="R32" s="62">
        <v>4.4982973043478256E-3</v>
      </c>
      <c r="S32" s="62">
        <v>11.205400571997322</v>
      </c>
      <c r="T32" s="62">
        <v>2.0797282548455094E-2</v>
      </c>
    </row>
    <row r="33" spans="2:20" x14ac:dyDescent="0.2">
      <c r="B33" s="47">
        <v>2400</v>
      </c>
      <c r="C33" s="60">
        <v>1.3891223742618855</v>
      </c>
      <c r="D33" s="60">
        <v>3.6339403032401738</v>
      </c>
      <c r="E33" s="62">
        <v>0.41486284498481801</v>
      </c>
      <c r="F33" s="62">
        <v>0.85729303038297966</v>
      </c>
      <c r="G33" s="62">
        <v>11172.74360265728</v>
      </c>
      <c r="H33" s="62">
        <v>0.47320652437832872</v>
      </c>
      <c r="I33" s="62">
        <v>0.73818554337636511</v>
      </c>
      <c r="J33" s="62">
        <v>0.20351412162739757</v>
      </c>
      <c r="K33" s="62">
        <v>-0.79648587837260243</v>
      </c>
      <c r="L33" s="62">
        <v>0.20690330701625645</v>
      </c>
      <c r="M33" s="62">
        <v>-0.10038403733467142</v>
      </c>
      <c r="N33" s="62">
        <v>0.70498000000000005</v>
      </c>
      <c r="O33" s="62"/>
      <c r="P33" s="62"/>
      <c r="Q33" s="62">
        <v>7.6983816000000013E-4</v>
      </c>
      <c r="R33" s="62">
        <v>4.3227023666666661E-3</v>
      </c>
      <c r="S33" s="62">
        <v>11.660581486210845</v>
      </c>
      <c r="T33" s="62">
        <v>2.1517526803269765E-2</v>
      </c>
    </row>
    <row r="34" spans="2:20" x14ac:dyDescent="0.2">
      <c r="B34" s="47">
        <v>2500</v>
      </c>
      <c r="C34" s="60">
        <v>1.3891223742618855</v>
      </c>
      <c r="D34" s="60">
        <v>3.7853544825418477</v>
      </c>
      <c r="E34" s="62">
        <v>0.41486284498481801</v>
      </c>
      <c r="F34" s="62">
        <v>0.85729303038297966</v>
      </c>
      <c r="G34" s="62">
        <v>11172.74360265728</v>
      </c>
      <c r="H34" s="62">
        <v>0.47320652437832872</v>
      </c>
      <c r="I34" s="62">
        <v>0.76894327435038023</v>
      </c>
      <c r="J34" s="62">
        <v>0.21199387669520575</v>
      </c>
      <c r="K34" s="62">
        <v>-0.78800612330479425</v>
      </c>
      <c r="L34" s="62">
        <v>0.21013130969118243</v>
      </c>
      <c r="M34" s="62">
        <v>-0.10854255952556568</v>
      </c>
      <c r="N34" s="62">
        <v>0.70779000000000003</v>
      </c>
      <c r="O34" s="62"/>
      <c r="P34" s="62"/>
      <c r="Q34" s="62">
        <v>7.4199041280000012E-4</v>
      </c>
      <c r="R34" s="62">
        <v>4.1663350560000008E-3</v>
      </c>
      <c r="S34" s="62">
        <v>12.098216420343784</v>
      </c>
      <c r="T34" s="62">
        <v>2.2239547916810518E-2</v>
      </c>
    </row>
    <row r="35" spans="2:20" x14ac:dyDescent="0.2">
      <c r="B35" s="47">
        <v>2600</v>
      </c>
      <c r="C35" s="60">
        <v>1.3891223742618855</v>
      </c>
      <c r="D35" s="60">
        <v>3.9367686618435216</v>
      </c>
      <c r="E35" s="62">
        <v>0.41486284498481801</v>
      </c>
      <c r="F35" s="62">
        <v>0.85729303038297966</v>
      </c>
      <c r="G35" s="62">
        <v>11172.74360265728</v>
      </c>
      <c r="H35" s="62">
        <v>0.47320652437832872</v>
      </c>
      <c r="I35" s="62">
        <v>0.79970100532439548</v>
      </c>
      <c r="J35" s="62">
        <v>0.22047363176301399</v>
      </c>
      <c r="K35" s="62">
        <v>-0.77952636823698596</v>
      </c>
      <c r="L35" s="62">
        <v>0.21292787489004822</v>
      </c>
      <c r="M35" s="62">
        <v>-0.11698744317154075</v>
      </c>
      <c r="N35" s="62">
        <v>0.71138000000000001</v>
      </c>
      <c r="O35" s="62"/>
      <c r="P35" s="62"/>
      <c r="Q35" s="62">
        <v>7.1707104000000006E-4</v>
      </c>
      <c r="R35" s="62">
        <v>4.0264108000000005E-3</v>
      </c>
      <c r="S35" s="62">
        <v>12.518648913606418</v>
      </c>
      <c r="T35" s="62">
        <v>2.2961581081816826E-2</v>
      </c>
    </row>
    <row r="36" spans="2:20" x14ac:dyDescent="0.2">
      <c r="B36" s="47">
        <v>2700</v>
      </c>
      <c r="C36" s="60">
        <v>1.3891223742618855</v>
      </c>
      <c r="D36" s="60">
        <v>4.0881828411451959</v>
      </c>
      <c r="E36" s="62">
        <v>0.41486284498481801</v>
      </c>
      <c r="F36" s="62">
        <v>0.85729303038297966</v>
      </c>
      <c r="G36" s="62">
        <v>11172.74360265728</v>
      </c>
      <c r="H36" s="62">
        <v>0.47320652437832872</v>
      </c>
      <c r="I36" s="62">
        <v>0.8304587362984106</v>
      </c>
      <c r="J36" s="62">
        <v>0.22895338683082223</v>
      </c>
      <c r="K36" s="62">
        <v>-0.77104661316917777</v>
      </c>
      <c r="L36" s="62">
        <v>0.21529300261285378</v>
      </c>
      <c r="M36" s="62">
        <v>-0.12571502978847246</v>
      </c>
      <c r="N36" s="62">
        <v>0.71567000000000003</v>
      </c>
      <c r="O36" s="62"/>
      <c r="P36" s="62"/>
      <c r="Q36" s="62">
        <v>6.9467701333333334E-4</v>
      </c>
      <c r="R36" s="62">
        <v>3.9006665629629633E-3</v>
      </c>
      <c r="S36" s="62">
        <v>12.922207621064928</v>
      </c>
      <c r="T36" s="62">
        <v>2.3681844934746024E-2</v>
      </c>
    </row>
    <row r="37" spans="2:20" x14ac:dyDescent="0.2">
      <c r="B37" s="47">
        <v>2800</v>
      </c>
      <c r="C37" s="60">
        <v>1.3891223742618855</v>
      </c>
      <c r="D37" s="60">
        <v>4.2395970204468698</v>
      </c>
      <c r="E37" s="62">
        <v>0.41486284498481801</v>
      </c>
      <c r="F37" s="62">
        <v>0.85729303038297966</v>
      </c>
      <c r="G37" s="62">
        <v>11172.74360265728</v>
      </c>
      <c r="H37" s="62">
        <v>0.47320652437832872</v>
      </c>
      <c r="I37" s="62">
        <v>0.86121646727242585</v>
      </c>
      <c r="J37" s="62">
        <v>0.23743314189863046</v>
      </c>
      <c r="K37" s="62">
        <v>-0.76256685810136959</v>
      </c>
      <c r="L37" s="62">
        <v>0.21722669285959936</v>
      </c>
      <c r="M37" s="62">
        <v>-0.13472166089223683</v>
      </c>
      <c r="N37" s="62">
        <v>0.72057000000000004</v>
      </c>
      <c r="O37" s="62"/>
      <c r="P37" s="62"/>
      <c r="Q37" s="62">
        <v>6.7445352000000019E-4</v>
      </c>
      <c r="R37" s="62">
        <v>3.787110042857143E-3</v>
      </c>
      <c r="S37" s="62">
        <v>13.30968010349271</v>
      </c>
      <c r="T37" s="62">
        <v>2.4399438210604498E-2</v>
      </c>
    </row>
    <row r="38" spans="2:20" x14ac:dyDescent="0.2">
      <c r="B38" s="47">
        <v>2900</v>
      </c>
      <c r="C38" s="60">
        <v>1.3891223742618855</v>
      </c>
      <c r="D38" s="60">
        <v>4.3910111997485437</v>
      </c>
      <c r="E38" s="62">
        <v>0.41486284498481801</v>
      </c>
      <c r="F38" s="62">
        <v>0.85729303038297966</v>
      </c>
      <c r="G38" s="62">
        <v>11172.74360265728</v>
      </c>
      <c r="H38" s="62">
        <v>0.47320652437832872</v>
      </c>
      <c r="I38" s="62">
        <v>0.89197419824644109</v>
      </c>
      <c r="J38" s="62">
        <v>0.2459128969664387</v>
      </c>
      <c r="K38" s="62">
        <v>-0.7540871030335613</v>
      </c>
      <c r="L38" s="62">
        <v>0.2187289456302848</v>
      </c>
      <c r="M38" s="62">
        <v>-0.14400367799870981</v>
      </c>
      <c r="N38" s="62">
        <v>0.72601000000000004</v>
      </c>
      <c r="O38" s="62"/>
      <c r="P38" s="62"/>
      <c r="Q38" s="62">
        <v>6.5611276137931044E-4</v>
      </c>
      <c r="R38" s="62">
        <v>3.6841252275862067E-3</v>
      </c>
      <c r="S38" s="62">
        <v>13.681734488753525</v>
      </c>
      <c r="T38" s="62">
        <v>2.5113372144169917E-2</v>
      </c>
    </row>
    <row r="39" spans="2:20" x14ac:dyDescent="0.2">
      <c r="B39" s="47">
        <v>3000</v>
      </c>
      <c r="C39" s="60">
        <v>1.3891223742618855</v>
      </c>
      <c r="D39" s="60">
        <v>4.5424253790502176</v>
      </c>
      <c r="E39" s="62">
        <v>0.41486284498481801</v>
      </c>
      <c r="F39" s="62">
        <v>0.85729303038297966</v>
      </c>
      <c r="G39" s="62">
        <v>11172.74360265728</v>
      </c>
      <c r="H39" s="62">
        <v>0.47320652437832872</v>
      </c>
      <c r="I39" s="62">
        <v>0.92273192922045622</v>
      </c>
      <c r="J39" s="62">
        <v>0.25439265203424694</v>
      </c>
      <c r="K39" s="62">
        <v>-0.74560734796575301</v>
      </c>
      <c r="L39" s="62">
        <v>0.21979976092490999</v>
      </c>
      <c r="M39" s="62">
        <v>-0.1535574226237672</v>
      </c>
      <c r="N39" s="62">
        <v>0.73194000000000004</v>
      </c>
      <c r="O39" s="62"/>
      <c r="P39" s="62"/>
      <c r="Q39" s="62">
        <v>6.3942278400000007E-4</v>
      </c>
      <c r="R39" s="62">
        <v>3.59040968E-3</v>
      </c>
      <c r="S39" s="62">
        <v>14.03885006993217</v>
      </c>
      <c r="T39" s="62">
        <v>2.5822397267756605E-2</v>
      </c>
    </row>
    <row r="40" spans="2:20" x14ac:dyDescent="0.2">
      <c r="B40" s="47">
        <v>3100</v>
      </c>
      <c r="C40" s="60">
        <v>1.3891223742618855</v>
      </c>
      <c r="D40" s="60">
        <v>4.6938395583518915</v>
      </c>
      <c r="E40" s="62">
        <v>0.41486284498481801</v>
      </c>
      <c r="F40" s="62">
        <v>0.85729303038297966</v>
      </c>
      <c r="G40" s="62">
        <v>11172.74360265728</v>
      </c>
      <c r="H40" s="62">
        <v>0.47320652437832872</v>
      </c>
      <c r="I40" s="62">
        <v>0.95348966019447146</v>
      </c>
      <c r="J40" s="62">
        <v>0.26287240710205517</v>
      </c>
      <c r="K40" s="62">
        <v>-0.73712759289794483</v>
      </c>
      <c r="L40" s="62">
        <v>0.22043913874347526</v>
      </c>
      <c r="M40" s="62">
        <v>-0.1633792362832851</v>
      </c>
      <c r="N40" s="62">
        <v>0.73829</v>
      </c>
      <c r="O40" s="62"/>
      <c r="P40" s="62"/>
      <c r="Q40" s="62">
        <v>6.2416465548387103E-4</v>
      </c>
      <c r="R40" s="62">
        <v>3.5047340774193546E-3</v>
      </c>
      <c r="S40" s="62">
        <v>14.38203928563621</v>
      </c>
      <c r="T40" s="62">
        <v>2.6526452494118238E-2</v>
      </c>
    </row>
    <row r="41" spans="2:20" x14ac:dyDescent="0.2">
      <c r="B41" s="47">
        <v>3200</v>
      </c>
      <c r="C41" s="60">
        <v>1.3891223742618855</v>
      </c>
      <c r="D41" s="60">
        <v>4.8452537376535654</v>
      </c>
      <c r="E41" s="62">
        <v>0.41486284498481801</v>
      </c>
      <c r="F41" s="62">
        <v>0.85729303038297966</v>
      </c>
      <c r="G41" s="62">
        <v>11172.74360265728</v>
      </c>
      <c r="H41" s="62">
        <v>0.47320652437832872</v>
      </c>
      <c r="I41" s="62">
        <v>0.98424739116848659</v>
      </c>
      <c r="J41" s="62">
        <v>0.27135216216986341</v>
      </c>
      <c r="K41" s="62">
        <v>-0.72864783783013665</v>
      </c>
      <c r="L41" s="62">
        <v>0.22064707908598019</v>
      </c>
      <c r="M41" s="62">
        <v>-0.17346546049313935</v>
      </c>
      <c r="N41" s="62">
        <v>0.74500999999999995</v>
      </c>
      <c r="O41" s="62"/>
      <c r="P41" s="62"/>
      <c r="Q41" s="62">
        <v>6.1016319000000005E-4</v>
      </c>
      <c r="R41" s="62">
        <v>3.4261147374999995E-3</v>
      </c>
      <c r="S41" s="62">
        <v>14.712065137647231</v>
      </c>
      <c r="T41" s="62">
        <v>2.7225163170898601E-2</v>
      </c>
    </row>
    <row r="42" spans="2:20" x14ac:dyDescent="0.2">
      <c r="B42" s="47">
        <v>3300</v>
      </c>
      <c r="C42" s="60">
        <v>1.3891223742618855</v>
      </c>
      <c r="D42" s="60">
        <v>4.9966679169552393</v>
      </c>
      <c r="E42" s="62">
        <v>0.41486284498481801</v>
      </c>
      <c r="F42" s="62">
        <v>0.85729303038297966</v>
      </c>
      <c r="G42" s="62">
        <v>11172.74360265728</v>
      </c>
      <c r="H42" s="62">
        <v>0.47320652437832872</v>
      </c>
      <c r="I42" s="62">
        <v>1.0150051221425018</v>
      </c>
      <c r="J42" s="62">
        <v>0.27983191723767165</v>
      </c>
      <c r="K42" s="62">
        <v>-0.72016808276232835</v>
      </c>
      <c r="L42" s="62">
        <v>0.22042358195242517</v>
      </c>
      <c r="M42" s="62">
        <v>-0.18381243676920594</v>
      </c>
      <c r="N42" s="62">
        <v>0.75205999999999995</v>
      </c>
      <c r="O42" s="62"/>
      <c r="P42" s="62"/>
      <c r="Q42" s="62">
        <v>5.9727237818181815E-4</v>
      </c>
      <c r="R42" s="62">
        <v>3.3537318060606058E-3</v>
      </c>
      <c r="S42" s="62">
        <v>15.029592734894512</v>
      </c>
      <c r="T42" s="62">
        <v>2.7918098715653764E-2</v>
      </c>
    </row>
    <row r="43" spans="2:20" x14ac:dyDescent="0.2">
      <c r="B43" s="47">
        <v>3400</v>
      </c>
      <c r="C43" s="60">
        <v>1.3891223742618855</v>
      </c>
      <c r="D43" s="60">
        <v>5.1480820962569132</v>
      </c>
      <c r="E43" s="62">
        <v>0.41486284498481801</v>
      </c>
      <c r="F43" s="62">
        <v>0.85729303038297966</v>
      </c>
      <c r="G43" s="62">
        <v>11172.74360265728</v>
      </c>
      <c r="H43" s="62">
        <v>0.47320652437832872</v>
      </c>
      <c r="I43" s="62">
        <v>1.0457628531165171</v>
      </c>
      <c r="J43" s="62">
        <v>0.28831167230547988</v>
      </c>
      <c r="K43" s="62">
        <v>-0.71168832769452006</v>
      </c>
      <c r="L43" s="62">
        <v>0.21976864734281004</v>
      </c>
      <c r="M43" s="62">
        <v>-0.19441650662736076</v>
      </c>
      <c r="N43" s="62">
        <v>0.75941000000000003</v>
      </c>
      <c r="O43" s="62"/>
      <c r="P43" s="62"/>
      <c r="Q43" s="62">
        <v>5.8537109647058825E-4</v>
      </c>
      <c r="R43" s="62">
        <v>3.2869051647058823E-3</v>
      </c>
      <c r="S43" s="62">
        <v>15.335162002358375</v>
      </c>
      <c r="T43" s="62">
        <v>2.860468215176451E-2</v>
      </c>
    </row>
    <row r="44" spans="2:20" x14ac:dyDescent="0.2">
      <c r="B44" s="47">
        <v>3500</v>
      </c>
      <c r="C44" s="60">
        <v>1.3891223742618855</v>
      </c>
      <c r="D44" s="60">
        <v>5.299496275558587</v>
      </c>
      <c r="E44" s="62">
        <v>0.41486284498481801</v>
      </c>
      <c r="F44" s="62">
        <v>0.85729303038297966</v>
      </c>
      <c r="G44" s="62">
        <v>11172.74360265728</v>
      </c>
      <c r="H44" s="62">
        <v>0.47320652437832872</v>
      </c>
      <c r="I44" s="62">
        <v>1.0765205840905323</v>
      </c>
      <c r="J44" s="62">
        <v>0.29679142737328812</v>
      </c>
      <c r="K44" s="62">
        <v>-0.70320857262671188</v>
      </c>
      <c r="L44" s="62">
        <v>0.21868227525713479</v>
      </c>
      <c r="M44" s="62">
        <v>-0.2052740115834798</v>
      </c>
      <c r="N44" s="62">
        <v>0.76702000000000004</v>
      </c>
      <c r="O44" s="62"/>
      <c r="P44" s="62"/>
      <c r="Q44" s="62">
        <v>5.7434457600000004E-4</v>
      </c>
      <c r="R44" s="62">
        <v>3.2249903771428574E-3</v>
      </c>
      <c r="S44" s="62">
        <v>15.629573205675444</v>
      </c>
      <c r="T44" s="62">
        <v>2.928505645133269E-2</v>
      </c>
    </row>
    <row r="45" spans="2:20" x14ac:dyDescent="0.2">
      <c r="B45" s="47">
        <v>3600</v>
      </c>
      <c r="C45" s="60">
        <v>1.3891223742618855</v>
      </c>
      <c r="D45" s="60">
        <v>5.4509104548602609</v>
      </c>
      <c r="E45" s="62">
        <v>0.41486284498481801</v>
      </c>
      <c r="F45" s="62">
        <v>0.85729303038297966</v>
      </c>
      <c r="G45" s="62">
        <v>11172.74360265728</v>
      </c>
      <c r="H45" s="62">
        <v>0.47320652437832872</v>
      </c>
      <c r="I45" s="62">
        <v>1.1072783150645475</v>
      </c>
      <c r="J45" s="62">
        <v>0.30527118244109636</v>
      </c>
      <c r="K45" s="62">
        <v>-0.6947288175589037</v>
      </c>
      <c r="L45" s="62">
        <v>0.21716446569539943</v>
      </c>
      <c r="M45" s="62">
        <v>-0.21638129315343896</v>
      </c>
      <c r="N45" s="62">
        <v>0.77485999999999999</v>
      </c>
      <c r="O45" s="62"/>
      <c r="P45" s="62"/>
      <c r="Q45" s="62">
        <v>5.6409807999999997E-4</v>
      </c>
      <c r="R45" s="62">
        <v>3.1674554888888886E-3</v>
      </c>
      <c r="S45" s="62">
        <v>15.913474826708548</v>
      </c>
      <c r="T45" s="62">
        <v>2.9959178145555036E-2</v>
      </c>
    </row>
    <row r="46" spans="2:20" x14ac:dyDescent="0.2">
      <c r="B46" s="47">
        <v>3700</v>
      </c>
      <c r="C46" s="60">
        <v>1.3891223742618855</v>
      </c>
      <c r="D46" s="60">
        <v>5.6023246341619348</v>
      </c>
      <c r="E46" s="62">
        <v>0.41486284498481801</v>
      </c>
      <c r="F46" s="62">
        <v>0.85729303038297966</v>
      </c>
      <c r="G46" s="62">
        <v>11172.74360265728</v>
      </c>
      <c r="H46" s="62">
        <v>0.47320652437832872</v>
      </c>
      <c r="I46" s="62">
        <v>1.1380360460385628</v>
      </c>
      <c r="J46" s="62">
        <v>0.31375093750890459</v>
      </c>
      <c r="K46" s="62">
        <v>-0.68624906249109541</v>
      </c>
      <c r="L46" s="62">
        <v>0.21521521865760396</v>
      </c>
      <c r="M46" s="62">
        <v>-0.22773469285311418</v>
      </c>
      <c r="N46" s="62">
        <v>0.78290000000000004</v>
      </c>
      <c r="O46" s="62"/>
      <c r="P46" s="62"/>
      <c r="Q46" s="62">
        <v>5.5454711351351355E-4</v>
      </c>
      <c r="R46" s="62">
        <v>3.1138260540540543E-3</v>
      </c>
      <c r="S46" s="62">
        <v>16.187552648140997</v>
      </c>
      <c r="T46" s="62">
        <v>3.0627237484547744E-2</v>
      </c>
    </row>
    <row r="47" spans="2:20" x14ac:dyDescent="0.2">
      <c r="B47" s="47">
        <v>3800</v>
      </c>
      <c r="C47" s="60">
        <v>1.3891223742618855</v>
      </c>
      <c r="D47" s="60">
        <v>5.7537388134636087</v>
      </c>
      <c r="E47" s="62">
        <v>0.41486284498481801</v>
      </c>
      <c r="F47" s="62">
        <v>0.85729303038297966</v>
      </c>
      <c r="G47" s="62">
        <v>11172.74360265728</v>
      </c>
      <c r="H47" s="62">
        <v>0.47320652437832872</v>
      </c>
      <c r="I47" s="62">
        <v>1.168793777012578</v>
      </c>
      <c r="J47" s="62">
        <v>0.32223069257671277</v>
      </c>
      <c r="K47" s="62">
        <v>-0.67776930742328723</v>
      </c>
      <c r="L47" s="62">
        <v>0.21283453414374853</v>
      </c>
      <c r="M47" s="62">
        <v>-0.23933055219838137</v>
      </c>
      <c r="N47" s="62">
        <v>0.79113</v>
      </c>
      <c r="O47" s="62"/>
      <c r="P47" s="62"/>
      <c r="Q47" s="62">
        <v>5.456298694736843E-4</v>
      </c>
      <c r="R47" s="62">
        <v>3.0637550210526315E-3</v>
      </c>
      <c r="S47" s="62">
        <v>16.452106268547258</v>
      </c>
      <c r="T47" s="62">
        <v>3.1288599301640685E-2</v>
      </c>
    </row>
    <row r="48" spans="2:20" x14ac:dyDescent="0.2">
      <c r="B48" s="47">
        <v>3900</v>
      </c>
      <c r="C48" s="60">
        <v>1.3891223742618855</v>
      </c>
      <c r="D48" s="60">
        <v>5.9051529927652826</v>
      </c>
      <c r="E48" s="62">
        <v>0.41486284498481801</v>
      </c>
      <c r="F48" s="62">
        <v>0.85729303038297966</v>
      </c>
      <c r="G48" s="62">
        <v>11172.74360265728</v>
      </c>
      <c r="H48" s="62">
        <v>0.47320652437832872</v>
      </c>
      <c r="I48" s="62">
        <v>1.199551507986593</v>
      </c>
      <c r="J48" s="62">
        <v>0.33071044764452101</v>
      </c>
      <c r="K48" s="62">
        <v>-0.66928955235547893</v>
      </c>
      <c r="L48" s="62">
        <v>0.2100224121538326</v>
      </c>
      <c r="M48" s="62">
        <v>-0.25116521270511649</v>
      </c>
      <c r="N48" s="62">
        <v>0.79952000000000001</v>
      </c>
      <c r="O48" s="62"/>
      <c r="P48" s="62"/>
      <c r="Q48" s="62">
        <v>5.3727743999999994E-4</v>
      </c>
      <c r="R48" s="62">
        <v>3.0168554666666668E-3</v>
      </c>
      <c r="S48" s="62">
        <v>16.707868091157192</v>
      </c>
      <c r="T48" s="62">
        <v>3.1943807940231363E-2</v>
      </c>
    </row>
    <row r="49" spans="2:20" x14ac:dyDescent="0.2">
      <c r="B49" s="47">
        <v>4000</v>
      </c>
      <c r="C49" s="60">
        <v>1.3891223742618855</v>
      </c>
      <c r="D49" s="60">
        <v>6.0565671720669565</v>
      </c>
      <c r="E49" s="62">
        <v>0.41486284498481801</v>
      </c>
      <c r="F49" s="62">
        <v>0.85729303038297966</v>
      </c>
      <c r="G49" s="62">
        <v>11172.74360265728</v>
      </c>
      <c r="H49" s="62">
        <v>0.47320652437832872</v>
      </c>
      <c r="I49" s="62">
        <v>1.2303092389606083</v>
      </c>
      <c r="J49" s="62">
        <v>0.33919020271232925</v>
      </c>
      <c r="K49" s="62">
        <v>-0.66080979728767075</v>
      </c>
      <c r="L49" s="62">
        <v>0.20677885268785678</v>
      </c>
      <c r="M49" s="62">
        <v>-0.26323501588919551</v>
      </c>
      <c r="N49" s="62">
        <v>0.80806</v>
      </c>
      <c r="O49" s="62"/>
      <c r="P49" s="62"/>
      <c r="Q49" s="62">
        <v>5.2944091199999999E-4</v>
      </c>
      <c r="R49" s="62">
        <v>2.9728527399999999E-3</v>
      </c>
      <c r="S49" s="62">
        <v>16.955169863931147</v>
      </c>
      <c r="T49" s="62">
        <v>3.2592509709220764E-2</v>
      </c>
    </row>
    <row r="50" spans="2:20" x14ac:dyDescent="0.2">
      <c r="B50" s="47">
        <v>4100</v>
      </c>
      <c r="C50" s="60">
        <v>1.3891223742618855</v>
      </c>
      <c r="D50" s="60">
        <v>6.2079813513686304</v>
      </c>
      <c r="E50" s="62">
        <v>0.41486284498481801</v>
      </c>
      <c r="F50" s="62">
        <v>0.85729303038297966</v>
      </c>
      <c r="G50" s="62">
        <v>11172.74360265728</v>
      </c>
      <c r="H50" s="62">
        <v>0.47320652437832872</v>
      </c>
      <c r="I50" s="62">
        <v>1.2610669699346235</v>
      </c>
      <c r="J50" s="62">
        <v>0.34766995778013748</v>
      </c>
      <c r="K50" s="62">
        <v>-0.65233004221986257</v>
      </c>
      <c r="L50" s="62">
        <v>0.20310385574582079</v>
      </c>
      <c r="M50" s="62">
        <v>-0.27553630326649431</v>
      </c>
      <c r="N50" s="62">
        <v>0.81672</v>
      </c>
      <c r="O50" s="62"/>
      <c r="P50" s="62"/>
      <c r="Q50" s="62">
        <v>5.2206335999999999E-4</v>
      </c>
      <c r="R50" s="62">
        <v>2.9314272E-3</v>
      </c>
      <c r="S50" s="62">
        <v>17.19477228946813</v>
      </c>
      <c r="T50" s="62">
        <v>3.3235582863443101E-2</v>
      </c>
    </row>
    <row r="51" spans="2:20" x14ac:dyDescent="0.2">
      <c r="B51" s="47">
        <v>4200</v>
      </c>
      <c r="C51" s="60">
        <v>1.3891223742618855</v>
      </c>
      <c r="D51" s="60">
        <v>6.3593955306703043</v>
      </c>
      <c r="E51" s="62">
        <v>0.41486284498481801</v>
      </c>
      <c r="F51" s="62">
        <v>0.85729303038297966</v>
      </c>
      <c r="G51" s="62">
        <v>11172.74360265728</v>
      </c>
      <c r="H51" s="62">
        <v>0.47320652437832872</v>
      </c>
      <c r="I51" s="62">
        <v>1.2918247009086388</v>
      </c>
      <c r="J51" s="62">
        <v>0.35614971284794572</v>
      </c>
      <c r="K51" s="62">
        <v>-0.64385028715205428</v>
      </c>
      <c r="L51" s="62">
        <v>0.19899742132772472</v>
      </c>
      <c r="M51" s="62">
        <v>-0.2880654163528889</v>
      </c>
      <c r="N51" s="62">
        <v>0.82550999999999997</v>
      </c>
      <c r="O51" s="62"/>
      <c r="P51" s="62"/>
      <c r="Q51" s="62">
        <v>5.1511823999999997E-4</v>
      </c>
      <c r="R51" s="62">
        <v>2.8924297999999996E-3</v>
      </c>
      <c r="S51" s="62">
        <v>17.42660208629891</v>
      </c>
      <c r="T51" s="62">
        <v>3.3871763759694806E-2</v>
      </c>
    </row>
    <row r="52" spans="2:20" x14ac:dyDescent="0.2">
      <c r="B52" s="47">
        <v>4300</v>
      </c>
      <c r="C52" s="60">
        <v>1.3891223742618855</v>
      </c>
      <c r="D52" s="60">
        <v>6.5108097099719782</v>
      </c>
      <c r="E52" s="62">
        <v>0.41486284498481801</v>
      </c>
      <c r="F52" s="62">
        <v>0.85729303038297966</v>
      </c>
      <c r="G52" s="62">
        <v>11172.74360265728</v>
      </c>
      <c r="H52" s="62">
        <v>0.47320652437832872</v>
      </c>
      <c r="I52" s="62">
        <v>1.322582431882654</v>
      </c>
      <c r="J52" s="62">
        <v>0.36462946791575396</v>
      </c>
      <c r="K52" s="62">
        <v>-0.63537053208424599</v>
      </c>
      <c r="L52" s="62">
        <v>0.19445954943356858</v>
      </c>
      <c r="M52" s="62">
        <v>-0.3008186966642552</v>
      </c>
      <c r="N52" s="62">
        <v>0.83438999999999997</v>
      </c>
      <c r="O52" s="62"/>
      <c r="P52" s="62"/>
      <c r="Q52" s="62">
        <v>5.0855100279069768E-4</v>
      </c>
      <c r="R52" s="62">
        <v>2.855554241860465E-3</v>
      </c>
      <c r="S52" s="62">
        <v>17.651642699776868</v>
      </c>
      <c r="T52" s="62">
        <v>3.4502755375682932E-2</v>
      </c>
    </row>
    <row r="53" spans="2:20" x14ac:dyDescent="0.2">
      <c r="B53" s="47">
        <v>4400</v>
      </c>
      <c r="C53" s="60">
        <v>1.3891223742618855</v>
      </c>
      <c r="D53" s="60">
        <v>6.6622238892736521</v>
      </c>
      <c r="E53" s="62">
        <v>0.41486284498481801</v>
      </c>
      <c r="F53" s="62">
        <v>0.85729303038297966</v>
      </c>
      <c r="G53" s="62">
        <v>11172.74360265728</v>
      </c>
      <c r="H53" s="62">
        <v>0.47320652437832872</v>
      </c>
      <c r="I53" s="62">
        <v>1.353340162856669</v>
      </c>
      <c r="J53" s="62">
        <v>0.37310922298356219</v>
      </c>
      <c r="K53" s="62">
        <v>-0.62689077701643781</v>
      </c>
      <c r="L53" s="62">
        <v>0.18949024006335205</v>
      </c>
      <c r="M53" s="62">
        <v>-0.31379248571646901</v>
      </c>
      <c r="N53" s="62">
        <v>0.84336999999999995</v>
      </c>
      <c r="O53" s="62"/>
      <c r="P53" s="62"/>
      <c r="Q53" s="62">
        <v>5.0234184000000001E-4</v>
      </c>
      <c r="R53" s="62">
        <v>2.8206892999999996E-3</v>
      </c>
      <c r="S53" s="62">
        <v>17.869824651425859</v>
      </c>
      <c r="T53" s="62">
        <v>3.5127438994877795E-2</v>
      </c>
    </row>
    <row r="54" spans="2:20" x14ac:dyDescent="0.2">
      <c r="B54" s="47">
        <v>4500</v>
      </c>
      <c r="C54" s="60">
        <v>1.3891223742618855</v>
      </c>
      <c r="D54" s="60">
        <v>6.8136380685753259</v>
      </c>
      <c r="E54" s="62">
        <v>0.41486284498481801</v>
      </c>
      <c r="F54" s="62">
        <v>0.85729303038297966</v>
      </c>
      <c r="G54" s="62">
        <v>11172.74360265728</v>
      </c>
      <c r="H54" s="62">
        <v>0.47320652437832872</v>
      </c>
      <c r="I54" s="62">
        <v>1.3840978938306843</v>
      </c>
      <c r="J54" s="62">
        <v>0.38158897805137043</v>
      </c>
      <c r="K54" s="62">
        <v>-0.61841102194862962</v>
      </c>
      <c r="L54" s="62">
        <v>0.18408949321707557</v>
      </c>
      <c r="M54" s="62">
        <v>-0.32698312502540644</v>
      </c>
      <c r="N54" s="62">
        <v>0.85243999999999998</v>
      </c>
      <c r="O54" s="62"/>
      <c r="P54" s="62"/>
      <c r="Q54" s="62">
        <v>4.9646105600000001E-4</v>
      </c>
      <c r="R54" s="62">
        <v>2.7876682311111104E-3</v>
      </c>
      <c r="S54" s="62">
        <v>18.081500023789626</v>
      </c>
      <c r="T54" s="62">
        <v>3.5745915070545274E-2</v>
      </c>
    </row>
    <row r="55" spans="2:20" x14ac:dyDescent="0.2">
      <c r="B55" s="47">
        <v>4600</v>
      </c>
      <c r="C55" s="60">
        <v>1.3891223742618855</v>
      </c>
      <c r="D55" s="60">
        <v>6.9650522478769998</v>
      </c>
      <c r="E55" s="62">
        <v>0.41486284498481801</v>
      </c>
      <c r="F55" s="62">
        <v>0.85729303038297966</v>
      </c>
      <c r="G55" s="62">
        <v>11172.74360265728</v>
      </c>
      <c r="H55" s="62">
        <v>0.47320652437832872</v>
      </c>
      <c r="I55" s="62">
        <v>1.4148556248046995</v>
      </c>
      <c r="J55" s="62">
        <v>0.39006873311917867</v>
      </c>
      <c r="K55" s="62">
        <v>-0.60993126688082133</v>
      </c>
      <c r="L55" s="62">
        <v>0.17825730889473909</v>
      </c>
      <c r="M55" s="62">
        <v>-0.34038695610694342</v>
      </c>
      <c r="N55" s="62">
        <v>0.86158000000000001</v>
      </c>
      <c r="O55" s="62"/>
      <c r="P55" s="62"/>
      <c r="Q55" s="62">
        <v>4.9087584E-4</v>
      </c>
      <c r="R55" s="62">
        <v>2.7563067999999999E-3</v>
      </c>
      <c r="S55" s="62">
        <v>18.287232461623336</v>
      </c>
      <c r="T55" s="62">
        <v>3.6358995757780843E-2</v>
      </c>
    </row>
    <row r="56" spans="2:20" x14ac:dyDescent="0.2">
      <c r="B56" s="47">
        <v>4700</v>
      </c>
      <c r="C56" s="60">
        <v>1.3891223742618855</v>
      </c>
      <c r="D56" s="60">
        <v>7.1164664271786737</v>
      </c>
      <c r="E56" s="62">
        <v>0.41486284498481801</v>
      </c>
      <c r="F56" s="62">
        <v>0.85729303038297966</v>
      </c>
      <c r="G56" s="62">
        <v>11172.74360265728</v>
      </c>
      <c r="H56" s="62">
        <v>0.47320652437832872</v>
      </c>
      <c r="I56" s="62">
        <v>1.4456133557787147</v>
      </c>
      <c r="J56" s="62">
        <v>0.3985484881869869</v>
      </c>
      <c r="K56" s="62">
        <v>-0.60145151181301304</v>
      </c>
      <c r="L56" s="62">
        <v>0.17199368709634244</v>
      </c>
      <c r="M56" s="62">
        <v>-0.35400032047695579</v>
      </c>
      <c r="N56" s="62">
        <v>0.87078999999999995</v>
      </c>
      <c r="O56" s="62"/>
      <c r="P56" s="62"/>
      <c r="Q56" s="62">
        <v>4.8556732595744681E-4</v>
      </c>
      <c r="R56" s="62">
        <v>2.7264990723404252E-3</v>
      </c>
      <c r="S56" s="62">
        <v>18.487159485400202</v>
      </c>
      <c r="T56" s="62">
        <v>3.6966310197822823E-2</v>
      </c>
    </row>
    <row r="57" spans="2:20" x14ac:dyDescent="0.2">
      <c r="B57" s="47">
        <v>4800</v>
      </c>
      <c r="C57" s="60">
        <v>1.3891223742618855</v>
      </c>
      <c r="D57" s="60">
        <v>7.2678806064803476</v>
      </c>
      <c r="E57" s="62">
        <v>0.41486284498481801</v>
      </c>
      <c r="F57" s="62">
        <v>0.85729303038297966</v>
      </c>
      <c r="G57" s="62">
        <v>11172.74360265728</v>
      </c>
      <c r="H57" s="62">
        <v>0.47320652437832872</v>
      </c>
      <c r="I57" s="62">
        <v>1.4763710867527302</v>
      </c>
      <c r="J57" s="62">
        <v>0.40702824325479514</v>
      </c>
      <c r="K57" s="62">
        <v>-0.59297175674520486</v>
      </c>
      <c r="L57" s="62">
        <v>0.16529862782188584</v>
      </c>
      <c r="M57" s="62">
        <v>-0.36781955965131957</v>
      </c>
      <c r="N57" s="62">
        <v>0.88005999999999995</v>
      </c>
      <c r="O57" s="62"/>
      <c r="P57" s="62"/>
      <c r="Q57" s="62">
        <v>4.8051276000000005E-4</v>
      </c>
      <c r="R57" s="62">
        <v>2.6981172833333328E-3</v>
      </c>
      <c r="S57" s="62">
        <v>18.681627925707161</v>
      </c>
      <c r="T57" s="62">
        <v>3.7568166746709056E-2</v>
      </c>
    </row>
    <row r="58" spans="2:20" x14ac:dyDescent="0.2">
      <c r="B58" s="47">
        <v>4900</v>
      </c>
      <c r="C58" s="60">
        <v>1.3891223742618855</v>
      </c>
      <c r="D58" s="60">
        <v>7.4192947857820215</v>
      </c>
      <c r="E58" s="62">
        <v>0.41486284498481801</v>
      </c>
      <c r="F58" s="62">
        <v>0.85729303038297966</v>
      </c>
      <c r="G58" s="62">
        <v>11172.74360265728</v>
      </c>
      <c r="H58" s="62">
        <v>0.47320652437832872</v>
      </c>
      <c r="I58" s="62">
        <v>1.5071288177267452</v>
      </c>
      <c r="J58" s="62">
        <v>0.41550799832260327</v>
      </c>
      <c r="K58" s="62">
        <v>-0.58449200167739668</v>
      </c>
      <c r="L58" s="62">
        <v>0.15817213107136927</v>
      </c>
      <c r="M58" s="62">
        <v>-0.38184101514591057</v>
      </c>
      <c r="N58" s="62">
        <v>0.88937999999999995</v>
      </c>
      <c r="O58" s="62"/>
      <c r="P58" s="62"/>
      <c r="Q58" s="62">
        <v>4.7569124571428571E-4</v>
      </c>
      <c r="R58" s="62">
        <v>2.6710440979591833E-3</v>
      </c>
      <c r="S58" s="62">
        <v>18.870981286181443</v>
      </c>
      <c r="T58" s="62">
        <v>3.8164936685018386E-2</v>
      </c>
    </row>
    <row r="59" spans="2:20" x14ac:dyDescent="0.2">
      <c r="B59" s="47">
        <v>5000</v>
      </c>
      <c r="C59" s="60">
        <v>1.3891223742618855</v>
      </c>
      <c r="D59" s="60">
        <v>7.5707089650836954</v>
      </c>
      <c r="E59" s="62">
        <v>0.41486284498481801</v>
      </c>
      <c r="F59" s="62">
        <v>0.85729303038297966</v>
      </c>
      <c r="G59" s="62">
        <v>11172.74360265728</v>
      </c>
      <c r="H59" s="62">
        <v>0.47320652437832872</v>
      </c>
      <c r="I59" s="62">
        <v>1.5378865487007605</v>
      </c>
      <c r="J59" s="62">
        <v>0.4239877533904115</v>
      </c>
      <c r="K59" s="62">
        <v>-0.5760122466095885</v>
      </c>
      <c r="L59" s="62">
        <v>0.15061419684479227</v>
      </c>
      <c r="M59" s="62">
        <v>-0.39606102847660485</v>
      </c>
      <c r="N59" s="62">
        <v>0.89875000000000005</v>
      </c>
      <c r="O59" s="62"/>
      <c r="P59" s="62"/>
      <c r="Q59" s="62">
        <v>4.7108880000000004E-4</v>
      </c>
      <c r="R59" s="62">
        <v>2.6452009999999998E-3</v>
      </c>
      <c r="S59" s="62">
        <v>19.055347093530184</v>
      </c>
      <c r="T59" s="62">
        <v>3.8756364814583028E-2</v>
      </c>
    </row>
    <row r="60" spans="2:20" x14ac:dyDescent="0.2">
      <c r="B60" s="47">
        <v>5100</v>
      </c>
      <c r="C60" s="60">
        <v>1.3891223742618855</v>
      </c>
      <c r="D60" s="60">
        <v>7.7221231443853693</v>
      </c>
      <c r="E60" s="62">
        <v>0.41486284498481801</v>
      </c>
      <c r="F60" s="62">
        <v>0.85729303038297966</v>
      </c>
      <c r="G60" s="62">
        <v>11172.74360265728</v>
      </c>
      <c r="H60" s="62">
        <v>0.47320652437832872</v>
      </c>
      <c r="I60" s="62">
        <v>1.5686442796747757</v>
      </c>
      <c r="J60" s="62">
        <v>0.43246750845821974</v>
      </c>
      <c r="K60" s="62">
        <v>-0.56753249154178032</v>
      </c>
      <c r="L60" s="62">
        <v>0.1426248251421551</v>
      </c>
      <c r="M60" s="62">
        <v>-0.41047594115927827</v>
      </c>
      <c r="N60" s="62">
        <v>0.90817000000000003</v>
      </c>
      <c r="O60" s="62"/>
      <c r="P60" s="62"/>
      <c r="Q60" s="62">
        <v>4.6669253647058838E-4</v>
      </c>
      <c r="R60" s="62">
        <v>2.6205156313725488E-3</v>
      </c>
      <c r="S60" s="62">
        <v>19.234849273061716</v>
      </c>
      <c r="T60" s="62">
        <v>3.9342208071822489E-2</v>
      </c>
    </row>
    <row r="61" spans="2:20" x14ac:dyDescent="0.2">
      <c r="B61" s="47">
        <v>5200</v>
      </c>
      <c r="C61" s="60">
        <v>1.3891223742618855</v>
      </c>
      <c r="D61" s="60">
        <v>7.8735373236870432</v>
      </c>
      <c r="E61" s="62">
        <v>0.41486284498481801</v>
      </c>
      <c r="F61" s="62">
        <v>0.85729303038297966</v>
      </c>
      <c r="G61" s="62">
        <v>11172.74360265728</v>
      </c>
      <c r="H61" s="62">
        <v>0.47320652437832872</v>
      </c>
      <c r="I61" s="62">
        <v>1.599402010648791</v>
      </c>
      <c r="J61" s="62">
        <v>0.44094726352602798</v>
      </c>
      <c r="K61" s="62">
        <v>-0.55905273647397202</v>
      </c>
      <c r="L61" s="62">
        <v>0.13420401596345793</v>
      </c>
      <c r="M61" s="62">
        <v>-0.4250820947098069</v>
      </c>
      <c r="N61" s="62">
        <v>0.91762999999999995</v>
      </c>
      <c r="O61" s="62"/>
      <c r="P61" s="62"/>
      <c r="Q61" s="62">
        <v>4.6248551999999998E-4</v>
      </c>
      <c r="R61" s="62">
        <v>2.5968928999999998E-3</v>
      </c>
      <c r="S61" s="62">
        <v>19.409819783924533</v>
      </c>
      <c r="T61" s="62">
        <v>3.9922943305803552E-2</v>
      </c>
    </row>
    <row r="62" spans="2:20" x14ac:dyDescent="0.2">
      <c r="B62" s="47">
        <v>5300</v>
      </c>
      <c r="C62" s="60">
        <v>1.3891223742618855</v>
      </c>
      <c r="D62" s="60">
        <v>8.0249515029887171</v>
      </c>
      <c r="E62" s="62">
        <v>0.41486284498481801</v>
      </c>
      <c r="F62" s="62">
        <v>0.85729303038297966</v>
      </c>
      <c r="G62" s="62">
        <v>11172.74360265728</v>
      </c>
      <c r="H62" s="62">
        <v>0.47320652437832872</v>
      </c>
      <c r="I62" s="62">
        <v>1.6301597416228062</v>
      </c>
      <c r="J62" s="62">
        <v>0.44942701859383621</v>
      </c>
      <c r="K62" s="62">
        <v>-0.55057298140616373</v>
      </c>
      <c r="L62" s="62">
        <v>0.12535176930870059</v>
      </c>
      <c r="M62" s="62">
        <v>-0.43987583064406655</v>
      </c>
      <c r="N62" s="62">
        <v>0.92712000000000006</v>
      </c>
      <c r="O62" s="62"/>
      <c r="P62" s="62"/>
      <c r="Q62" s="62">
        <v>4.5845209358490565E-4</v>
      </c>
      <c r="R62" s="62">
        <v>2.5742448905660379E-3</v>
      </c>
      <c r="S62" s="62">
        <v>19.580585892148662</v>
      </c>
      <c r="T62" s="62">
        <v>4.049910099022392E-2</v>
      </c>
    </row>
    <row r="63" spans="2:20" x14ac:dyDescent="0.2">
      <c r="B63" s="47">
        <v>5400</v>
      </c>
      <c r="C63" s="60">
        <v>1.3891223742618855</v>
      </c>
      <c r="D63" s="60">
        <v>8.1763656822903918</v>
      </c>
      <c r="E63" s="62">
        <v>0.41486284498481801</v>
      </c>
      <c r="F63" s="62">
        <v>0.85729303038297966</v>
      </c>
      <c r="G63" s="62">
        <v>11172.74360265728</v>
      </c>
      <c r="H63" s="62">
        <v>0.47320652437832872</v>
      </c>
      <c r="I63" s="62">
        <v>1.6609174725968212</v>
      </c>
      <c r="J63" s="62">
        <v>0.45790677366164445</v>
      </c>
      <c r="K63" s="62">
        <v>-0.54209322633835555</v>
      </c>
      <c r="L63" s="62">
        <v>0.11606808517788286</v>
      </c>
      <c r="M63" s="62">
        <v>-0.45485349047793305</v>
      </c>
      <c r="N63" s="62">
        <v>0.93664000000000003</v>
      </c>
      <c r="O63" s="62"/>
      <c r="P63" s="62"/>
      <c r="Q63" s="62">
        <v>4.5458261333333332E-4</v>
      </c>
      <c r="R63" s="62">
        <v>2.5525174518518522E-3</v>
      </c>
      <c r="S63" s="62">
        <v>19.747258985666932</v>
      </c>
      <c r="T63" s="62">
        <v>4.107053360269125E-2</v>
      </c>
    </row>
    <row r="64" spans="2:20" x14ac:dyDescent="0.2">
      <c r="B64" s="47">
        <v>5500</v>
      </c>
      <c r="C64" s="60">
        <v>1.3891223742618855</v>
      </c>
      <c r="D64" s="60">
        <v>8.3277798615920648</v>
      </c>
      <c r="E64" s="62">
        <v>0.41486284498481801</v>
      </c>
      <c r="F64" s="62">
        <v>0.85729303038297966</v>
      </c>
      <c r="G64" s="62">
        <v>11172.74360265728</v>
      </c>
      <c r="H64" s="62">
        <v>0.47320652437832872</v>
      </c>
      <c r="I64" s="62">
        <v>1.6916752035708364</v>
      </c>
      <c r="J64" s="62">
        <v>0.46638652872945269</v>
      </c>
      <c r="K64" s="62">
        <v>-0.53361347127054737</v>
      </c>
      <c r="L64" s="62">
        <v>0.10635296357100527</v>
      </c>
      <c r="M64" s="62">
        <v>-0.47001141572728256</v>
      </c>
      <c r="N64" s="62">
        <v>0.94620000000000004</v>
      </c>
      <c r="O64" s="62"/>
      <c r="P64" s="62"/>
      <c r="Q64" s="62">
        <v>4.5087290181818182E-4</v>
      </c>
      <c r="R64" s="62">
        <v>2.531687127272727E-3</v>
      </c>
      <c r="S64" s="62">
        <v>19.909736335173619</v>
      </c>
      <c r="T64" s="62">
        <v>4.1636363078000893E-2</v>
      </c>
    </row>
    <row r="65" spans="2:20" x14ac:dyDescent="0.2">
      <c r="B65" s="47">
        <v>5600</v>
      </c>
      <c r="C65" s="60">
        <v>1.3891223742618855</v>
      </c>
      <c r="D65" s="60">
        <v>8.4791940408937396</v>
      </c>
      <c r="E65" s="62">
        <v>0.41486284498481801</v>
      </c>
      <c r="F65" s="62">
        <v>0.85729303038297966</v>
      </c>
      <c r="G65" s="62">
        <v>11172.74360265728</v>
      </c>
      <c r="H65" s="62">
        <v>0.47320652437832872</v>
      </c>
      <c r="I65" s="62">
        <v>1.7224329345448517</v>
      </c>
      <c r="J65" s="62">
        <v>0.47486628379726092</v>
      </c>
      <c r="K65" s="62">
        <v>-0.52513371620273908</v>
      </c>
      <c r="L65" s="62">
        <v>9.6206404488067582E-2</v>
      </c>
      <c r="M65" s="62">
        <v>-0.48534594790799102</v>
      </c>
      <c r="N65" s="62">
        <v>0.95577999999999996</v>
      </c>
      <c r="O65" s="62"/>
      <c r="P65" s="62"/>
      <c r="Q65" s="62">
        <v>4.4730503999999995E-4</v>
      </c>
      <c r="R65" s="62">
        <v>2.5116532999999996E-3</v>
      </c>
      <c r="S65" s="62">
        <v>20.068543372269232</v>
      </c>
      <c r="T65" s="62">
        <v>4.2197924862458956E-2</v>
      </c>
    </row>
    <row r="66" spans="2:20" x14ac:dyDescent="0.2">
      <c r="B66" s="47">
        <v>5700</v>
      </c>
      <c r="C66" s="60">
        <v>1.3891223742618855</v>
      </c>
      <c r="D66" s="60">
        <v>8.6306082201954126</v>
      </c>
      <c r="E66" s="62">
        <v>0.41486284498481801</v>
      </c>
      <c r="F66" s="62">
        <v>0.85729303038297966</v>
      </c>
      <c r="G66" s="62">
        <v>11172.74360265728</v>
      </c>
      <c r="H66" s="62">
        <v>0.47320652437832872</v>
      </c>
      <c r="I66" s="62">
        <v>1.7531906655188669</v>
      </c>
      <c r="J66" s="62">
        <v>0.48334603886506916</v>
      </c>
      <c r="K66" s="62">
        <v>-0.51665396113493078</v>
      </c>
      <c r="L66" s="62">
        <v>8.5628407929069728E-2</v>
      </c>
      <c r="M66" s="62">
        <v>-0.50085342853593418</v>
      </c>
      <c r="N66" s="62">
        <v>0.96538000000000002</v>
      </c>
      <c r="O66" s="62"/>
      <c r="P66" s="62"/>
      <c r="Q66" s="62">
        <v>4.4387156210526314E-4</v>
      </c>
      <c r="R66" s="62">
        <v>2.4923740491228068E-3</v>
      </c>
      <c r="S66" s="62">
        <v>20.223779494451605</v>
      </c>
      <c r="T66" s="62">
        <v>4.275512359141443E-2</v>
      </c>
    </row>
    <row r="67" spans="2:20" x14ac:dyDescent="0.2">
      <c r="B67" s="47">
        <v>5800</v>
      </c>
      <c r="C67" s="60">
        <v>1.3891223742618855</v>
      </c>
      <c r="D67" s="60">
        <v>8.7820223994970874</v>
      </c>
      <c r="E67" s="62">
        <v>0.41486284498481801</v>
      </c>
      <c r="F67" s="62">
        <v>0.85729303038297966</v>
      </c>
      <c r="G67" s="62">
        <v>11172.74360265728</v>
      </c>
      <c r="H67" s="62">
        <v>0.47320652437832872</v>
      </c>
      <c r="I67" s="62">
        <v>1.7839483964928822</v>
      </c>
      <c r="J67" s="62">
        <v>0.4918257939328774</v>
      </c>
      <c r="K67" s="62">
        <v>-0.5081742060671226</v>
      </c>
      <c r="L67" s="62">
        <v>7.461897389401187E-2</v>
      </c>
      <c r="M67" s="62">
        <v>-0.51653019912698817</v>
      </c>
      <c r="N67" s="62">
        <v>0.97499999999999998</v>
      </c>
      <c r="O67" s="62"/>
      <c r="P67" s="62"/>
      <c r="Q67" s="62">
        <v>4.4056551724137925E-4</v>
      </c>
      <c r="R67" s="62">
        <v>2.4738103448275861E-3</v>
      </c>
      <c r="S67" s="62">
        <v>20.375540628061433</v>
      </c>
      <c r="T67" s="62">
        <v>4.3307869689598336E-2</v>
      </c>
    </row>
    <row r="68" spans="2:20" x14ac:dyDescent="0.2">
      <c r="B68" s="47">
        <v>5900</v>
      </c>
      <c r="C68" s="60">
        <v>1.3891223742618855</v>
      </c>
      <c r="D68" s="60">
        <v>8.9334365787987604</v>
      </c>
      <c r="E68" s="62">
        <v>0.41486284498481801</v>
      </c>
      <c r="F68" s="62">
        <v>0.85729303038297966</v>
      </c>
      <c r="G68" s="62">
        <v>11172.74360265728</v>
      </c>
      <c r="H68" s="62">
        <v>0.47320652437832872</v>
      </c>
      <c r="I68" s="62">
        <v>1.8147061274668972</v>
      </c>
      <c r="J68" s="62">
        <v>0.50030554900068569</v>
      </c>
      <c r="K68" s="62">
        <v>-0.49969445099931431</v>
      </c>
      <c r="L68" s="62">
        <v>6.3178102382893342E-2</v>
      </c>
      <c r="M68" s="62">
        <v>-0.53237260119702867</v>
      </c>
      <c r="N68" s="62">
        <v>0.98463999999999996</v>
      </c>
      <c r="O68" s="62"/>
      <c r="P68" s="62"/>
      <c r="Q68" s="62">
        <v>4.3738042576271183E-4</v>
      </c>
      <c r="R68" s="62">
        <v>2.4559258033898302E-3</v>
      </c>
      <c r="S68" s="62">
        <v>20.523919378012369</v>
      </c>
      <c r="T68" s="62">
        <v>4.3856079182075423E-2</v>
      </c>
    </row>
    <row r="69" spans="2:20" x14ac:dyDescent="0.2">
      <c r="B69" s="47">
        <v>6000</v>
      </c>
      <c r="C69" s="60">
        <v>1.3891223742618855</v>
      </c>
      <c r="D69" s="60">
        <v>9.0848507581004352</v>
      </c>
      <c r="E69" s="62">
        <v>0.41486284498481801</v>
      </c>
      <c r="F69" s="62">
        <v>0.85729303038297966</v>
      </c>
      <c r="G69" s="62">
        <v>11172.74360265728</v>
      </c>
      <c r="H69" s="62">
        <v>0.47320652437832872</v>
      </c>
      <c r="I69" s="62">
        <v>1.8454638584409124</v>
      </c>
      <c r="J69" s="62">
        <v>0.50878530406849387</v>
      </c>
      <c r="K69" s="62">
        <v>-0.49121469593150613</v>
      </c>
      <c r="L69" s="62">
        <v>5.1305793395715338E-2</v>
      </c>
      <c r="M69" s="62">
        <v>-0.54837697626193194</v>
      </c>
      <c r="N69" s="62">
        <v>0.99429999999999996</v>
      </c>
      <c r="O69" s="62"/>
      <c r="P69" s="62"/>
      <c r="Q69" s="62">
        <v>4.3431024E-4</v>
      </c>
      <c r="R69" s="62">
        <v>2.4386864666666665E-3</v>
      </c>
      <c r="S69" s="62">
        <v>20.669005169840396</v>
      </c>
      <c r="T69" s="62">
        <v>4.4399673508955594E-2</v>
      </c>
    </row>
    <row r="70" spans="2:20" x14ac:dyDescent="0.2">
      <c r="B70" s="47">
        <v>6100</v>
      </c>
      <c r="C70" s="46">
        <v>1.3891223742618855</v>
      </c>
      <c r="D70" s="46">
        <v>9.2362649374021082</v>
      </c>
      <c r="E70" s="47">
        <v>0.41486284498481801</v>
      </c>
      <c r="F70" s="47">
        <v>0.85729303038297966</v>
      </c>
      <c r="G70" s="47">
        <v>11172.74360265728</v>
      </c>
      <c r="H70" s="47">
        <v>0.47320652437832872</v>
      </c>
      <c r="I70" s="47">
        <v>1.8762215894149277</v>
      </c>
      <c r="J70" s="47">
        <v>0.51726505913630216</v>
      </c>
      <c r="K70" s="47">
        <v>-0.48273494086369784</v>
      </c>
      <c r="L70" s="47">
        <v>3.9002046932476775E-2</v>
      </c>
      <c r="M70" s="47">
        <v>-0.56453966583757365</v>
      </c>
      <c r="N70" s="47">
        <v>1.00397</v>
      </c>
      <c r="Q70" s="47">
        <v>4.3134501245901648E-4</v>
      </c>
      <c r="R70" s="47">
        <v>2.4220364786885244E-3</v>
      </c>
      <c r="S70" s="47">
        <v>20.811091670446835</v>
      </c>
      <c r="T70" s="47">
        <v>4.4939372036726169E-2</v>
      </c>
    </row>
    <row r="71" spans="2:20" x14ac:dyDescent="0.2">
      <c r="B71" s="47">
        <v>6200</v>
      </c>
      <c r="C71" s="46">
        <v>1.3891223742618855</v>
      </c>
      <c r="D71" s="46">
        <v>9.387679116703783</v>
      </c>
      <c r="E71" s="47">
        <v>0.41486284498481801</v>
      </c>
      <c r="F71" s="47">
        <v>0.85729303038297966</v>
      </c>
      <c r="G71" s="47">
        <v>11172.74360265728</v>
      </c>
      <c r="H71" s="47">
        <v>0.47320652437832872</v>
      </c>
      <c r="I71" s="47">
        <v>1.9069793203889429</v>
      </c>
      <c r="J71" s="47">
        <v>0.52574481420411034</v>
      </c>
      <c r="K71" s="47">
        <v>-0.47425518579588966</v>
      </c>
      <c r="L71" s="47">
        <v>2.6266862993178763E-2</v>
      </c>
      <c r="M71" s="47">
        <v>-0.58085701143982993</v>
      </c>
      <c r="N71" s="47">
        <v>1.01366</v>
      </c>
      <c r="Q71" s="47">
        <v>4.284838916129032E-4</v>
      </c>
      <c r="R71" s="47">
        <v>2.4059710580645161E-3</v>
      </c>
      <c r="S71" s="47">
        <v>20.950053833025589</v>
      </c>
      <c r="T71" s="47">
        <v>4.5474330211729537E-2</v>
      </c>
    </row>
    <row r="72" spans="2:20" x14ac:dyDescent="0.2">
      <c r="B72" s="47">
        <v>6300</v>
      </c>
      <c r="C72" s="46">
        <v>1.3891223742618855</v>
      </c>
      <c r="D72" s="46">
        <v>9.539093296005456</v>
      </c>
      <c r="E72" s="47">
        <v>0.41486284498481801</v>
      </c>
      <c r="F72" s="47">
        <v>0.85729303038297966</v>
      </c>
      <c r="G72" s="47">
        <v>11172.74360265728</v>
      </c>
      <c r="H72" s="47">
        <v>0.47320652437832872</v>
      </c>
      <c r="I72" s="47">
        <v>1.9377370513629582</v>
      </c>
      <c r="J72" s="47">
        <v>0.53422456927191853</v>
      </c>
      <c r="K72" s="47">
        <v>-0.46577543072808147</v>
      </c>
      <c r="L72" s="47">
        <v>1.3100241577820415E-2</v>
      </c>
      <c r="M72" s="47">
        <v>-0.59732535458457658</v>
      </c>
      <c r="N72" s="47">
        <v>1.02335</v>
      </c>
      <c r="Q72" s="47">
        <v>4.2571360000000002E-4</v>
      </c>
      <c r="R72" s="47">
        <v>2.3904156507936506E-3</v>
      </c>
      <c r="S72" s="47">
        <v>21.086384357640028</v>
      </c>
      <c r="T72" s="47">
        <v>4.6006101817112489E-2</v>
      </c>
    </row>
    <row r="73" spans="2:20" x14ac:dyDescent="0.2">
      <c r="B73" s="47">
        <v>6400</v>
      </c>
      <c r="C73" s="46">
        <v>1.3891223742618855</v>
      </c>
      <c r="D73" s="46">
        <v>9.6905074753071307</v>
      </c>
      <c r="E73" s="47">
        <v>0.41486284498481801</v>
      </c>
      <c r="F73" s="47">
        <v>0.85729303038297966</v>
      </c>
      <c r="G73" s="47">
        <v>11172.74360265728</v>
      </c>
      <c r="H73" s="47">
        <v>0.47320652437832872</v>
      </c>
      <c r="I73" s="47">
        <v>1.9684947823369732</v>
      </c>
      <c r="J73" s="47">
        <v>0.54270432433972682</v>
      </c>
      <c r="K73" s="47">
        <v>-0.45729567566027318</v>
      </c>
      <c r="L73" s="47">
        <v>-4.9781731359871406E-4</v>
      </c>
      <c r="M73" s="47">
        <v>-0.61394103678768952</v>
      </c>
      <c r="N73" s="47">
        <v>1.0330600000000001</v>
      </c>
      <c r="Q73" s="47">
        <v>4.2303807000000008E-4</v>
      </c>
      <c r="R73" s="47">
        <v>2.3753923375000002E-3</v>
      </c>
      <c r="S73" s="47">
        <v>21.219746477839742</v>
      </c>
      <c r="T73" s="47">
        <v>4.6533040693196727E-2</v>
      </c>
    </row>
    <row r="74" spans="2:20" x14ac:dyDescent="0.2">
      <c r="B74" s="47">
        <v>6500</v>
      </c>
      <c r="C74" s="46">
        <v>1.3891223742618855</v>
      </c>
      <c r="D74" s="46">
        <v>9.8419216546088037</v>
      </c>
      <c r="E74" s="47">
        <v>0.41486284498481801</v>
      </c>
      <c r="F74" s="47">
        <v>0.85729303038297966</v>
      </c>
      <c r="G74" s="47">
        <v>11172.74360265728</v>
      </c>
      <c r="H74" s="47">
        <v>0.47320652437832872</v>
      </c>
      <c r="I74" s="47">
        <v>1.9992525133109884</v>
      </c>
      <c r="J74" s="47">
        <v>0.551184079407535</v>
      </c>
      <c r="K74" s="47">
        <v>-0.448815920592465</v>
      </c>
      <c r="L74" s="47">
        <v>-1.452731368107707E-2</v>
      </c>
      <c r="M74" s="47">
        <v>-0.63070039956504487</v>
      </c>
      <c r="N74" s="47">
        <v>1.04277</v>
      </c>
      <c r="Q74" s="47">
        <v>4.2044486399999998E-4</v>
      </c>
      <c r="R74" s="47">
        <v>2.36083128E-3</v>
      </c>
      <c r="S74" s="47">
        <v>21.350624932059162</v>
      </c>
      <c r="T74" s="47">
        <v>4.7056739386853487E-2</v>
      </c>
    </row>
    <row r="75" spans="2:20" x14ac:dyDescent="0.2">
      <c r="B75" s="47">
        <v>6600</v>
      </c>
      <c r="C75" s="46">
        <v>1.3891223742618855</v>
      </c>
      <c r="D75" s="46">
        <v>9.9933358339104785</v>
      </c>
      <c r="E75" s="47">
        <v>0.41486284498481801</v>
      </c>
      <c r="F75" s="47">
        <v>0.85729303038297966</v>
      </c>
      <c r="G75" s="47">
        <v>11172.74360265728</v>
      </c>
      <c r="H75" s="47">
        <v>0.47320652437832872</v>
      </c>
      <c r="I75" s="47">
        <v>2.0300102442850037</v>
      </c>
      <c r="J75" s="47">
        <v>0.55966383447534329</v>
      </c>
      <c r="K75" s="47">
        <v>-0.44033616552465671</v>
      </c>
      <c r="L75" s="47">
        <v>-2.8988247524616317E-2</v>
      </c>
      <c r="M75" s="47">
        <v>-0.64759978443251842</v>
      </c>
      <c r="N75" s="47">
        <v>1.0524899999999999</v>
      </c>
      <c r="Q75" s="47">
        <v>4.1793421090909088E-4</v>
      </c>
      <c r="R75" s="47">
        <v>2.3467337636363631E-3</v>
      </c>
      <c r="S75" s="47">
        <v>21.478884383138592</v>
      </c>
      <c r="T75" s="47">
        <v>4.7576358632956194E-2</v>
      </c>
    </row>
    <row r="76" spans="2:20" x14ac:dyDescent="0.2">
      <c r="B76" s="47">
        <v>6700</v>
      </c>
      <c r="C76" s="46">
        <v>1.3891223742618855</v>
      </c>
      <c r="D76" s="46">
        <v>10.144750013212152</v>
      </c>
      <c r="E76" s="47">
        <v>0.41486284498481801</v>
      </c>
      <c r="F76" s="47">
        <v>0.85729303038297966</v>
      </c>
      <c r="G76" s="47">
        <v>11172.74360265728</v>
      </c>
      <c r="H76" s="47">
        <v>0.47320652437832872</v>
      </c>
      <c r="I76" s="47">
        <v>2.0607679752590191</v>
      </c>
      <c r="J76" s="47">
        <v>0.56814358954315147</v>
      </c>
      <c r="K76" s="47">
        <v>-0.43185641045684853</v>
      </c>
      <c r="L76" s="47">
        <v>-4.3880618844214792E-2</v>
      </c>
      <c r="M76" s="47">
        <v>-0.66463553290598631</v>
      </c>
      <c r="N76" s="47">
        <v>1.0622199999999999</v>
      </c>
      <c r="Q76" s="47">
        <v>4.1550241432835813E-4</v>
      </c>
      <c r="R76" s="47">
        <v>2.3330790328358205E-3</v>
      </c>
      <c r="S76" s="47">
        <v>21.604593105397885</v>
      </c>
      <c r="T76" s="47">
        <v>4.8091871101905714E-2</v>
      </c>
    </row>
    <row r="77" spans="2:20" x14ac:dyDescent="0.2">
      <c r="B77" s="47">
        <v>6800</v>
      </c>
      <c r="C77" s="46">
        <v>1.3891223742618855</v>
      </c>
      <c r="D77" s="46">
        <v>10.296164192513826</v>
      </c>
      <c r="E77" s="47">
        <v>0.41486284498481801</v>
      </c>
      <c r="F77" s="47">
        <v>0.85729303038297966</v>
      </c>
      <c r="G77" s="47">
        <v>11172.74360265728</v>
      </c>
      <c r="H77" s="47">
        <v>0.47320652437832872</v>
      </c>
      <c r="I77" s="47">
        <v>2.0915257062330341</v>
      </c>
      <c r="J77" s="47">
        <v>0.57662334461095976</v>
      </c>
      <c r="K77" s="47">
        <v>-0.42337665538904024</v>
      </c>
      <c r="L77" s="47">
        <v>-5.9204427639874435E-2</v>
      </c>
      <c r="M77" s="47">
        <v>-0.68180398650132401</v>
      </c>
      <c r="N77" s="47">
        <v>1.07195</v>
      </c>
      <c r="Q77" s="47">
        <v>4.131421411764706E-4</v>
      </c>
      <c r="R77" s="47">
        <v>2.3198259117647056E-3</v>
      </c>
      <c r="S77" s="47">
        <v>21.728019732657259</v>
      </c>
      <c r="T77" s="47">
        <v>4.8604098477698414E-2</v>
      </c>
    </row>
    <row r="78" spans="2:20" x14ac:dyDescent="0.2">
      <c r="B78" s="47">
        <v>6900</v>
      </c>
      <c r="C78" s="46">
        <v>1.3891223742618855</v>
      </c>
      <c r="D78" s="46">
        <v>10.447578371815499</v>
      </c>
      <c r="E78" s="47">
        <v>0.41486284498481801</v>
      </c>
      <c r="F78" s="47">
        <v>0.85729303038297966</v>
      </c>
      <c r="G78" s="47">
        <v>11172.74360265728</v>
      </c>
      <c r="H78" s="47">
        <v>0.47320652437832872</v>
      </c>
      <c r="I78" s="47">
        <v>2.1222834372070492</v>
      </c>
      <c r="J78" s="47">
        <v>0.58510309967876795</v>
      </c>
      <c r="K78" s="47">
        <v>-0.41489690032123205</v>
      </c>
      <c r="L78" s="47">
        <v>-7.4959673911593527E-2</v>
      </c>
      <c r="M78" s="47">
        <v>-0.69910148673440775</v>
      </c>
      <c r="N78" s="47">
        <v>1.08169</v>
      </c>
      <c r="Q78" s="47">
        <v>4.1085408000000005E-4</v>
      </c>
      <c r="R78" s="47">
        <v>2.3069782666666669E-3</v>
      </c>
      <c r="S78" s="47">
        <v>21.849023857508296</v>
      </c>
      <c r="T78" s="47">
        <v>4.9112186570692856E-2</v>
      </c>
    </row>
    <row r="79" spans="2:20" x14ac:dyDescent="0.2">
      <c r="B79" s="47">
        <v>7000</v>
      </c>
      <c r="C79" s="46">
        <v>1.3891223742618855</v>
      </c>
      <c r="D79" s="46">
        <v>10.598992551117174</v>
      </c>
      <c r="E79" s="47">
        <v>0.41486284498481801</v>
      </c>
      <c r="F79" s="47">
        <v>0.85729303038297966</v>
      </c>
      <c r="G79" s="47">
        <v>11172.74360265728</v>
      </c>
      <c r="H79" s="47">
        <v>0.47320652437832872</v>
      </c>
      <c r="I79" s="47">
        <v>2.1530411681810646</v>
      </c>
      <c r="J79" s="47">
        <v>0.59358285474657624</v>
      </c>
      <c r="K79" s="47">
        <v>-0.40641714525342376</v>
      </c>
      <c r="L79" s="47">
        <v>-9.1146357659372901E-2</v>
      </c>
      <c r="M79" s="47">
        <v>-0.71652437512111378</v>
      </c>
      <c r="N79" s="47">
        <v>1.0914299999999999</v>
      </c>
      <c r="Q79" s="47">
        <v>4.0863139200000002E-4</v>
      </c>
      <c r="R79" s="47">
        <v>2.2944976971428568E-3</v>
      </c>
      <c r="S79" s="47">
        <v>21.967868283292891</v>
      </c>
      <c r="T79" s="47">
        <v>4.9616975428877864E-2</v>
      </c>
    </row>
    <row r="80" spans="2:20" x14ac:dyDescent="0.2">
      <c r="B80" s="47">
        <v>7100</v>
      </c>
      <c r="C80" s="46">
        <v>1.3891223742618855</v>
      </c>
      <c r="D80" s="46">
        <v>10.750406730418847</v>
      </c>
      <c r="E80" s="47">
        <v>0.41486284498481801</v>
      </c>
      <c r="F80" s="47">
        <v>0.85729303038297966</v>
      </c>
      <c r="G80" s="47">
        <v>11172.74360265728</v>
      </c>
      <c r="H80" s="47">
        <v>0.47320652437832872</v>
      </c>
      <c r="I80" s="47">
        <v>2.1837988991550801</v>
      </c>
      <c r="J80" s="47">
        <v>0.60206260981438442</v>
      </c>
      <c r="K80" s="47">
        <v>-0.39793739018561558</v>
      </c>
      <c r="L80" s="47">
        <v>-0.10776447888321189</v>
      </c>
      <c r="M80" s="47">
        <v>-0.73406899317731766</v>
      </c>
      <c r="N80" s="47">
        <v>1.10118</v>
      </c>
      <c r="Q80" s="47">
        <v>4.0647500619718317E-4</v>
      </c>
      <c r="R80" s="47">
        <v>2.2823894197183097E-3</v>
      </c>
      <c r="S80" s="47">
        <v>22.084409764471349</v>
      </c>
      <c r="T80" s="47">
        <v>5.0117601083425466E-2</v>
      </c>
    </row>
    <row r="81" spans="2:20" x14ac:dyDescent="0.2">
      <c r="B81" s="47">
        <v>7200</v>
      </c>
      <c r="C81" s="46">
        <v>1.3891223742618855</v>
      </c>
      <c r="D81" s="46">
        <v>10.901820909720522</v>
      </c>
      <c r="E81" s="47">
        <v>0.41486284498481801</v>
      </c>
      <c r="F81" s="47">
        <v>0.85729303038297966</v>
      </c>
      <c r="G81" s="47">
        <v>11172.74360265728</v>
      </c>
      <c r="H81" s="47">
        <v>0.47320652437832872</v>
      </c>
      <c r="I81" s="47">
        <v>2.2145566301290951</v>
      </c>
      <c r="J81" s="47">
        <v>0.61054236488219271</v>
      </c>
      <c r="K81" s="47">
        <v>-0.38945763511780729</v>
      </c>
      <c r="L81" s="47">
        <v>-0.12481403758311188</v>
      </c>
      <c r="M81" s="47">
        <v>-0.75173168241889521</v>
      </c>
      <c r="N81" s="47">
        <v>1.1109199999999999</v>
      </c>
      <c r="Q81" s="47">
        <v>4.0437487999999994E-4</v>
      </c>
      <c r="R81" s="47">
        <v>2.2705970444444443E-3</v>
      </c>
      <c r="S81" s="47">
        <v>22.199105433736694</v>
      </c>
      <c r="T81" s="47">
        <v>5.061579356693939E-2</v>
      </c>
    </row>
    <row r="82" spans="2:20" x14ac:dyDescent="0.2">
      <c r="B82" s="47">
        <v>7300</v>
      </c>
      <c r="C82" s="46">
        <v>1.3891223742618855</v>
      </c>
      <c r="D82" s="46">
        <v>11.053235089022195</v>
      </c>
      <c r="E82" s="47">
        <v>0.41486284498481801</v>
      </c>
      <c r="F82" s="47">
        <v>0.85729303038297966</v>
      </c>
      <c r="G82" s="47">
        <v>11172.74360265728</v>
      </c>
      <c r="H82" s="47">
        <v>0.47320652437832872</v>
      </c>
      <c r="I82" s="47">
        <v>2.2453143611031101</v>
      </c>
      <c r="J82" s="47">
        <v>0.61902211995000089</v>
      </c>
      <c r="K82" s="47">
        <v>-0.38097788004999911</v>
      </c>
      <c r="L82" s="47">
        <v>-0.14229503375907149</v>
      </c>
      <c r="M82" s="47">
        <v>-0.76950878436172254</v>
      </c>
      <c r="N82" s="47">
        <v>1.1206700000000001</v>
      </c>
      <c r="Q82" s="47">
        <v>4.0233588164383566E-4</v>
      </c>
      <c r="R82" s="47">
        <v>2.2591479068493152E-3</v>
      </c>
      <c r="S82" s="47">
        <v>22.311608299011276</v>
      </c>
      <c r="T82" s="47">
        <v>5.1109819130902061E-2</v>
      </c>
    </row>
    <row r="83" spans="2:20" x14ac:dyDescent="0.2">
      <c r="B83" s="47">
        <v>7400</v>
      </c>
      <c r="C83" s="46">
        <v>1.3891223742618855</v>
      </c>
      <c r="D83" s="46">
        <v>11.20464926832387</v>
      </c>
      <c r="E83" s="47">
        <v>0.41486284498481801</v>
      </c>
      <c r="F83" s="47">
        <v>0.85729303038297966</v>
      </c>
      <c r="G83" s="47">
        <v>11172.74360265728</v>
      </c>
      <c r="H83" s="47">
        <v>0.47320652437832872</v>
      </c>
      <c r="I83" s="47">
        <v>2.2760720920771256</v>
      </c>
      <c r="J83" s="47">
        <v>0.62750187501780919</v>
      </c>
      <c r="K83" s="47">
        <v>-0.37249812498219081</v>
      </c>
      <c r="L83" s="47">
        <v>-0.16020746741109138</v>
      </c>
      <c r="M83" s="47">
        <v>-0.78739664052167579</v>
      </c>
      <c r="N83" s="47">
        <v>1.13042</v>
      </c>
      <c r="Q83" s="47">
        <v>4.0035199135135139E-4</v>
      </c>
      <c r="R83" s="47">
        <v>2.248008205405405E-3</v>
      </c>
      <c r="S83" s="47">
        <v>22.4221704644815</v>
      </c>
      <c r="T83" s="47">
        <v>5.16005508160821E-2</v>
      </c>
    </row>
    <row r="84" spans="2:20" x14ac:dyDescent="0.2">
      <c r="B84" s="47">
        <v>7500</v>
      </c>
      <c r="C84" s="46">
        <v>1.3891223742618855</v>
      </c>
      <c r="D84" s="46">
        <v>11.356063447625543</v>
      </c>
      <c r="E84" s="47">
        <v>0.41486284498481801</v>
      </c>
      <c r="F84" s="47">
        <v>0.85729303038297966</v>
      </c>
      <c r="G84" s="47">
        <v>11172.74360265728</v>
      </c>
      <c r="H84" s="47">
        <v>0.47320652437832872</v>
      </c>
      <c r="I84" s="47">
        <v>2.3068298230511406</v>
      </c>
      <c r="J84" s="47">
        <v>0.63598163008561737</v>
      </c>
      <c r="K84" s="47">
        <v>-0.36401836991438263</v>
      </c>
      <c r="L84" s="47">
        <v>-0.17855133853917132</v>
      </c>
      <c r="M84" s="47">
        <v>-0.80539159241463043</v>
      </c>
      <c r="N84" s="47">
        <v>1.1401600000000001</v>
      </c>
      <c r="Q84" s="47">
        <v>3.9841751040000007E-4</v>
      </c>
      <c r="R84" s="47">
        <v>2.2371459413333336E-3</v>
      </c>
      <c r="S84" s="47">
        <v>22.531039328221812</v>
      </c>
      <c r="T84" s="47">
        <v>5.208888747047441E-2</v>
      </c>
    </row>
    <row r="85" spans="2:20" x14ac:dyDescent="0.2">
      <c r="B85" s="47">
        <v>7600</v>
      </c>
      <c r="C85" s="46">
        <v>1.3891223742618855</v>
      </c>
      <c r="D85" s="46">
        <v>11.507477626927217</v>
      </c>
      <c r="E85" s="47">
        <v>0.41486284498481801</v>
      </c>
      <c r="F85" s="47">
        <v>0.85729303038297966</v>
      </c>
      <c r="G85" s="47">
        <v>11172.74360265728</v>
      </c>
      <c r="H85" s="47">
        <v>0.47320652437832872</v>
      </c>
      <c r="I85" s="47">
        <v>2.3375875540251561</v>
      </c>
      <c r="J85" s="47">
        <v>0.64446138515342555</v>
      </c>
      <c r="K85" s="47">
        <v>-0.35553861484657445</v>
      </c>
      <c r="L85" s="47">
        <v>-0.19732664714331083</v>
      </c>
      <c r="M85" s="47">
        <v>-0.82348998155646291</v>
      </c>
      <c r="N85" s="47">
        <v>1.14991</v>
      </c>
      <c r="Q85" s="47">
        <v>3.9653738526315794E-4</v>
      </c>
      <c r="R85" s="47">
        <v>2.2265888894736842E-3</v>
      </c>
      <c r="S85" s="47">
        <v>22.63786701956813</v>
      </c>
      <c r="T85" s="47">
        <v>5.257306170079902E-2</v>
      </c>
    </row>
    <row r="86" spans="2:20" x14ac:dyDescent="0.2">
      <c r="B86" s="47">
        <v>7700</v>
      </c>
      <c r="C86" s="46">
        <v>1.3891223742618855</v>
      </c>
      <c r="D86" s="46">
        <v>11.658891806228892</v>
      </c>
      <c r="E86" s="47">
        <v>0.41486284498481801</v>
      </c>
      <c r="F86" s="47">
        <v>0.85729303038297966</v>
      </c>
      <c r="G86" s="47">
        <v>11172.74360265728</v>
      </c>
      <c r="H86" s="47">
        <v>0.47320652437832872</v>
      </c>
      <c r="I86" s="47">
        <v>2.3683452849991711</v>
      </c>
      <c r="J86" s="47">
        <v>0.65294114022123373</v>
      </c>
      <c r="K86" s="47">
        <v>-0.34705885977876627</v>
      </c>
      <c r="L86" s="47">
        <v>-0.21653339322351078</v>
      </c>
      <c r="M86" s="47">
        <v>-0.84168814946304882</v>
      </c>
      <c r="N86" s="47">
        <v>1.1596599999999999</v>
      </c>
      <c r="Q86" s="47">
        <v>3.9470609454545457E-4</v>
      </c>
      <c r="R86" s="47">
        <v>2.2163060467532466E-3</v>
      </c>
      <c r="S86" s="47">
        <v>22.74289837407326</v>
      </c>
      <c r="T86" s="47">
        <v>5.30539684623276E-2</v>
      </c>
    </row>
    <row r="87" spans="2:20" x14ac:dyDescent="0.2">
      <c r="B87" s="47">
        <v>7800</v>
      </c>
      <c r="C87" s="46">
        <v>1.3891223742618855</v>
      </c>
      <c r="D87" s="46">
        <v>11.810305985530565</v>
      </c>
      <c r="E87" s="47">
        <v>0.41486284498481801</v>
      </c>
      <c r="F87" s="47">
        <v>0.85729303038297966</v>
      </c>
      <c r="G87" s="47">
        <v>11172.74360265728</v>
      </c>
      <c r="H87" s="47">
        <v>0.47320652437832872</v>
      </c>
      <c r="I87" s="47">
        <v>2.3991030159731861</v>
      </c>
      <c r="J87" s="47">
        <v>0.66142089528904202</v>
      </c>
      <c r="K87" s="47">
        <v>-0.33857910471095798</v>
      </c>
      <c r="L87" s="47">
        <v>-0.23617157677977163</v>
      </c>
      <c r="M87" s="47">
        <v>-0.85998243765026405</v>
      </c>
      <c r="N87" s="47">
        <v>1.1694100000000001</v>
      </c>
      <c r="Q87" s="47">
        <v>3.9292176000000007E-4</v>
      </c>
      <c r="R87" s="47">
        <v>2.2062868666666664E-3</v>
      </c>
      <c r="S87" s="47">
        <v>22.846178322815774</v>
      </c>
      <c r="T87" s="47">
        <v>5.3531618547104594E-2</v>
      </c>
    </row>
    <row r="88" spans="2:20" x14ac:dyDescent="0.2">
      <c r="B88" s="47">
        <v>7900</v>
      </c>
      <c r="C88" s="46">
        <v>1.3891223742618855</v>
      </c>
      <c r="D88" s="46">
        <v>11.96172016483224</v>
      </c>
      <c r="E88" s="47">
        <v>0.41486284498481801</v>
      </c>
      <c r="F88" s="47">
        <v>0.85729303038297966</v>
      </c>
      <c r="G88" s="47">
        <v>11172.74360265728</v>
      </c>
      <c r="H88" s="47">
        <v>0.47320652437832872</v>
      </c>
      <c r="I88" s="47">
        <v>2.4298607469472016</v>
      </c>
      <c r="J88" s="47">
        <v>0.6699006503568502</v>
      </c>
      <c r="K88" s="47">
        <v>-0.3300993496431498</v>
      </c>
      <c r="L88" s="47">
        <v>-0.25624119781209148</v>
      </c>
      <c r="M88" s="47">
        <v>-0.87836918763398497</v>
      </c>
      <c r="N88" s="47">
        <v>1.1791499999999999</v>
      </c>
      <c r="Q88" s="47">
        <v>3.911792810126582E-4</v>
      </c>
      <c r="R88" s="47">
        <v>2.1965027088607595E-3</v>
      </c>
      <c r="S88" s="47">
        <v>22.947944923453509</v>
      </c>
      <c r="T88" s="47">
        <v>5.4006937038812319E-2</v>
      </c>
    </row>
    <row r="89" spans="2:20" x14ac:dyDescent="0.2">
      <c r="B89" s="47">
        <v>8000</v>
      </c>
      <c r="C89" s="46">
        <v>1.3891223742618855</v>
      </c>
      <c r="D89" s="46">
        <v>12.113134344133913</v>
      </c>
      <c r="E89" s="47">
        <v>0.41486284498481801</v>
      </c>
      <c r="F89" s="47">
        <v>0.85729303038297966</v>
      </c>
      <c r="G89" s="47">
        <v>11172.74360265728</v>
      </c>
      <c r="H89" s="47">
        <v>0.47320652437832872</v>
      </c>
      <c r="I89" s="47">
        <v>2.4606184779212166</v>
      </c>
      <c r="J89" s="47">
        <v>0.67838040542465849</v>
      </c>
      <c r="K89" s="47">
        <v>-0.32161959457534151</v>
      </c>
      <c r="L89" s="47">
        <v>-0.2767422563204725</v>
      </c>
      <c r="M89" s="47">
        <v>-0.89684474093008704</v>
      </c>
      <c r="N89" s="47">
        <v>1.18889</v>
      </c>
      <c r="Q89" s="47">
        <v>3.89480364E-4</v>
      </c>
      <c r="R89" s="47">
        <v>2.1869631549999999E-3</v>
      </c>
      <c r="S89" s="47">
        <v>23.048044075142702</v>
      </c>
      <c r="T89" s="47">
        <v>5.4479033518810525E-2</v>
      </c>
    </row>
    <row r="90" spans="2:20" x14ac:dyDescent="0.2">
      <c r="B90" s="47">
        <v>8100</v>
      </c>
      <c r="C90" s="46">
        <v>1.3891223742618855</v>
      </c>
      <c r="D90" s="46">
        <v>12.264548523435588</v>
      </c>
      <c r="E90" s="47">
        <v>0.41486284498481801</v>
      </c>
      <c r="F90" s="47">
        <v>0.85729303038297966</v>
      </c>
      <c r="G90" s="47">
        <v>11172.74360265728</v>
      </c>
      <c r="H90" s="47">
        <v>0.47320652437832872</v>
      </c>
      <c r="I90" s="47">
        <v>2.491376208895232</v>
      </c>
      <c r="J90" s="47">
        <v>0.68686016049246668</v>
      </c>
      <c r="K90" s="47">
        <v>-0.31313983950753332</v>
      </c>
      <c r="L90" s="47">
        <v>-0.29767475230491253</v>
      </c>
      <c r="M90" s="47">
        <v>-0.91540543905444671</v>
      </c>
      <c r="N90" s="47">
        <v>1.1986300000000001</v>
      </c>
      <c r="Q90" s="47">
        <v>3.8782339555555563E-4</v>
      </c>
      <c r="R90" s="47">
        <v>2.1776591456790129E-3</v>
      </c>
      <c r="S90" s="47">
        <v>23.146516426672626</v>
      </c>
      <c r="T90" s="47">
        <v>5.4947920823752883E-2</v>
      </c>
    </row>
    <row r="91" spans="2:20" x14ac:dyDescent="0.2">
      <c r="B91" s="47">
        <v>8200</v>
      </c>
      <c r="C91" s="46">
        <v>1.3891223742618855</v>
      </c>
      <c r="D91" s="46">
        <v>12.415962702737261</v>
      </c>
      <c r="E91" s="47">
        <v>0.41486284498481801</v>
      </c>
      <c r="F91" s="47">
        <v>0.85729303038297966</v>
      </c>
      <c r="G91" s="47">
        <v>11172.74360265728</v>
      </c>
      <c r="H91" s="47">
        <v>0.47320652437832872</v>
      </c>
      <c r="I91" s="47">
        <v>2.5221339398692471</v>
      </c>
      <c r="J91" s="47">
        <v>0.69533991556027497</v>
      </c>
      <c r="K91" s="47">
        <v>-0.30466008443972503</v>
      </c>
      <c r="L91" s="47">
        <v>-0.31903868576541389</v>
      </c>
      <c r="M91" s="47">
        <v>-0.93404762352293913</v>
      </c>
      <c r="N91" s="47">
        <v>1.2083699999999999</v>
      </c>
      <c r="Q91" s="47">
        <v>3.8620684097560973E-4</v>
      </c>
      <c r="R91" s="47">
        <v>2.1685820634146338E-3</v>
      </c>
      <c r="S91" s="47">
        <v>23.243401316243219</v>
      </c>
      <c r="T91" s="47">
        <v>5.5413612506924982E-2</v>
      </c>
    </row>
    <row r="92" spans="2:20" x14ac:dyDescent="0.2">
      <c r="B92" s="47">
        <v>8300</v>
      </c>
      <c r="C92" s="46">
        <v>1.3891223742618855</v>
      </c>
      <c r="D92" s="46">
        <v>12.567376882038936</v>
      </c>
      <c r="E92" s="47">
        <v>0.41486284498481801</v>
      </c>
      <c r="F92" s="47">
        <v>0.85729303038297966</v>
      </c>
      <c r="G92" s="47">
        <v>11172.74360265728</v>
      </c>
      <c r="H92" s="47">
        <v>0.47320652437832872</v>
      </c>
      <c r="I92" s="47">
        <v>2.5528916708432621</v>
      </c>
      <c r="J92" s="47">
        <v>0.70381967062808315</v>
      </c>
      <c r="K92" s="47">
        <v>-0.29618032937191685</v>
      </c>
      <c r="L92" s="47">
        <v>-0.34083405670197453</v>
      </c>
      <c r="M92" s="47">
        <v>-0.95276763585144086</v>
      </c>
      <c r="N92" s="47">
        <v>1.21811</v>
      </c>
      <c r="Q92" s="47">
        <v>3.8462923951807231E-4</v>
      </c>
      <c r="R92" s="47">
        <v>2.1597237060240961E-3</v>
      </c>
      <c r="S92" s="47">
        <v>23.338736823862394</v>
      </c>
      <c r="T92" s="47">
        <v>5.5876122789981088E-2</v>
      </c>
    </row>
    <row r="93" spans="2:20" x14ac:dyDescent="0.2">
      <c r="B93" s="47">
        <v>8400</v>
      </c>
      <c r="C93" s="46">
        <v>1.3891223742618855</v>
      </c>
      <c r="D93" s="46">
        <v>12.718791061340609</v>
      </c>
      <c r="E93" s="47">
        <v>0.41486284498481801</v>
      </c>
      <c r="F93" s="47">
        <v>0.85729303038297966</v>
      </c>
      <c r="G93" s="47">
        <v>11172.74360265728</v>
      </c>
      <c r="H93" s="47">
        <v>0.47320652437832872</v>
      </c>
      <c r="I93" s="47">
        <v>2.5836494018172775</v>
      </c>
      <c r="J93" s="47">
        <v>0.71229942569589144</v>
      </c>
      <c r="K93" s="47">
        <v>-0.28770057430410856</v>
      </c>
      <c r="L93" s="47">
        <v>-0.36306086511459579</v>
      </c>
      <c r="M93" s="47">
        <v>-0.97156181755582782</v>
      </c>
      <c r="N93" s="47">
        <v>1.22784</v>
      </c>
      <c r="Q93" s="47">
        <v>3.8308607999999999E-4</v>
      </c>
      <c r="R93" s="47">
        <v>2.1510587428571429E-3</v>
      </c>
      <c r="S93" s="47">
        <v>23.432750665006211</v>
      </c>
      <c r="T93" s="47">
        <v>5.6336405104217203E-2</v>
      </c>
    </row>
    <row r="94" spans="2:20" x14ac:dyDescent="0.2">
      <c r="B94" s="47">
        <v>8500</v>
      </c>
      <c r="C94" s="46">
        <v>1.3891223742618855</v>
      </c>
      <c r="D94" s="46">
        <v>12.870205240642283</v>
      </c>
      <c r="E94" s="47">
        <v>0.41486284498481801</v>
      </c>
      <c r="F94" s="47">
        <v>0.85729303038297966</v>
      </c>
      <c r="G94" s="47">
        <v>11172.74360265728</v>
      </c>
      <c r="H94" s="47">
        <v>0.47320652437832872</v>
      </c>
      <c r="I94" s="47">
        <v>2.6144071327912926</v>
      </c>
      <c r="J94" s="47">
        <v>0.72077918076369962</v>
      </c>
      <c r="K94" s="47">
        <v>-0.27922081923630038</v>
      </c>
      <c r="L94" s="47">
        <v>-0.3857191110032766</v>
      </c>
      <c r="M94" s="47">
        <v>-0.99042651015197569</v>
      </c>
      <c r="N94" s="47">
        <v>1.2375700000000001</v>
      </c>
      <c r="Q94" s="47">
        <v>3.8157923011764711E-4</v>
      </c>
      <c r="R94" s="47">
        <v>2.1425976611764703E-3</v>
      </c>
      <c r="S94" s="47">
        <v>23.52528619837862</v>
      </c>
      <c r="T94" s="47">
        <v>5.6793545622648579E-2</v>
      </c>
    </row>
    <row r="95" spans="2:20" x14ac:dyDescent="0.2">
      <c r="B95" s="47">
        <v>8600</v>
      </c>
      <c r="C95" s="46">
        <v>1.3891223742618855</v>
      </c>
      <c r="D95" s="46">
        <v>13.021619419943956</v>
      </c>
      <c r="E95" s="47">
        <v>0.41486284498481801</v>
      </c>
      <c r="F95" s="47">
        <v>0.85729303038297966</v>
      </c>
      <c r="G95" s="47">
        <v>11172.74360265728</v>
      </c>
      <c r="H95" s="47">
        <v>0.47320652437832872</v>
      </c>
      <c r="I95" s="47">
        <v>2.645164863765308</v>
      </c>
      <c r="J95" s="47">
        <v>0.72925893583150792</v>
      </c>
      <c r="K95" s="47">
        <v>-0.27074106416849208</v>
      </c>
      <c r="L95" s="47">
        <v>-0.40880879436801787</v>
      </c>
      <c r="M95" s="47">
        <v>-1.0093580551557608</v>
      </c>
      <c r="N95" s="47">
        <v>1.24729</v>
      </c>
      <c r="Q95" s="47">
        <v>3.801043758139535E-4</v>
      </c>
      <c r="R95" s="47">
        <v>2.1343162372093024E-3</v>
      </c>
      <c r="S95" s="47">
        <v>23.616567361667002</v>
      </c>
      <c r="T95" s="47">
        <v>5.7248507817725246E-2</v>
      </c>
    </row>
    <row r="96" spans="2:20" x14ac:dyDescent="0.2">
      <c r="B96" s="47">
        <v>8700</v>
      </c>
      <c r="C96" s="46">
        <v>1.3891223742618855</v>
      </c>
      <c r="D96" s="46">
        <v>13.173033599245631</v>
      </c>
      <c r="E96" s="47">
        <v>0.41486284498481801</v>
      </c>
      <c r="F96" s="47">
        <v>0.85729303038297966</v>
      </c>
      <c r="G96" s="47">
        <v>11172.74360265728</v>
      </c>
      <c r="H96" s="47">
        <v>0.47320652437832872</v>
      </c>
      <c r="I96" s="47">
        <v>2.675922594739323</v>
      </c>
      <c r="J96" s="47">
        <v>0.7377386908993161</v>
      </c>
      <c r="K96" s="47">
        <v>-0.2622613091006839</v>
      </c>
      <c r="L96" s="47">
        <v>-0.43232991520881903</v>
      </c>
      <c r="M96" s="47">
        <v>-1.0283527940830586</v>
      </c>
      <c r="N96" s="47">
        <v>1.25702</v>
      </c>
      <c r="Q96" s="47">
        <v>3.7866643862068968E-4</v>
      </c>
      <c r="R96" s="47">
        <v>2.1262421057471263E-3</v>
      </c>
      <c r="S96" s="47">
        <v>23.706248244689696</v>
      </c>
      <c r="T96" s="47">
        <v>5.7699416509513768E-2</v>
      </c>
    </row>
    <row r="97" spans="2:20" x14ac:dyDescent="0.2">
      <c r="B97" s="47">
        <v>8800</v>
      </c>
      <c r="C97" s="46">
        <v>1.3891223742618855</v>
      </c>
      <c r="D97" s="46">
        <v>13.324447778547304</v>
      </c>
      <c r="E97" s="47">
        <v>0.41486284498481801</v>
      </c>
      <c r="F97" s="47">
        <v>0.85729303038297966</v>
      </c>
      <c r="G97" s="47">
        <v>11172.74360265728</v>
      </c>
      <c r="H97" s="47">
        <v>0.47320652437832872</v>
      </c>
      <c r="I97" s="47">
        <v>2.7066803257133381</v>
      </c>
      <c r="J97" s="47">
        <v>0.74621844596712439</v>
      </c>
      <c r="K97" s="47">
        <v>-0.25378155403287561</v>
      </c>
      <c r="L97" s="47">
        <v>-0.45628247352568108</v>
      </c>
      <c r="M97" s="47">
        <v>-1.047407068449745</v>
      </c>
      <c r="N97" s="47">
        <v>1.2667299999999999</v>
      </c>
      <c r="Q97" s="47">
        <v>3.7725522545454539E-4</v>
      </c>
      <c r="R97" s="47">
        <v>2.1183180318181819E-3</v>
      </c>
      <c r="S97" s="47">
        <v>23.794927121443443</v>
      </c>
      <c r="T97" s="47">
        <v>5.8149144983156133E-2</v>
      </c>
    </row>
    <row r="98" spans="2:20" x14ac:dyDescent="0.2">
      <c r="B98" s="47">
        <v>8900</v>
      </c>
      <c r="C98" s="46">
        <v>1.3891223742618855</v>
      </c>
      <c r="D98" s="46">
        <v>13.475861957848979</v>
      </c>
      <c r="E98" s="47">
        <v>0.41486284498481801</v>
      </c>
      <c r="F98" s="47">
        <v>0.85729303038297966</v>
      </c>
      <c r="G98" s="47">
        <v>11172.74360265728</v>
      </c>
      <c r="H98" s="47">
        <v>0.47320652437832872</v>
      </c>
      <c r="I98" s="47">
        <v>2.7374380566873535</v>
      </c>
      <c r="J98" s="47">
        <v>0.75469820103493257</v>
      </c>
      <c r="K98" s="47">
        <v>-0.24530179896506743</v>
      </c>
      <c r="L98" s="47">
        <v>-0.48066646931860213</v>
      </c>
      <c r="M98" s="47">
        <v>-1.0665172197716966</v>
      </c>
      <c r="N98" s="47">
        <v>1.2764500000000001</v>
      </c>
      <c r="Q98" s="47">
        <v>3.7587866966292142E-4</v>
      </c>
      <c r="R98" s="47">
        <v>2.1105885617977529E-3</v>
      </c>
      <c r="S98" s="47">
        <v>23.882069721925848</v>
      </c>
      <c r="T98" s="47">
        <v>5.8594852869463011E-2</v>
      </c>
    </row>
    <row r="99" spans="2:20" x14ac:dyDescent="0.2">
      <c r="B99" s="47">
        <v>9000</v>
      </c>
      <c r="C99" s="46">
        <v>1.3891223742618855</v>
      </c>
      <c r="D99" s="46">
        <v>13.627276137150652</v>
      </c>
      <c r="E99" s="47">
        <v>0.41486284498481801</v>
      </c>
      <c r="F99" s="47">
        <v>0.85729303038297966</v>
      </c>
      <c r="G99" s="47">
        <v>11172.74360265728</v>
      </c>
      <c r="H99" s="47">
        <v>0.47320652437832872</v>
      </c>
      <c r="I99" s="47">
        <v>2.7681957876613685</v>
      </c>
      <c r="J99" s="47">
        <v>0.76317795610274086</v>
      </c>
      <c r="K99" s="47">
        <v>-0.23682204389725914</v>
      </c>
      <c r="L99" s="47">
        <v>-0.50548190258758452</v>
      </c>
      <c r="M99" s="47">
        <v>-1.0856795895647884</v>
      </c>
      <c r="N99" s="47">
        <v>1.28616</v>
      </c>
      <c r="Q99" s="47">
        <v>3.74529792E-4</v>
      </c>
      <c r="R99" s="47">
        <v>2.1030145066666668E-3</v>
      </c>
      <c r="S99" s="47">
        <v>23.968081545498585</v>
      </c>
      <c r="T99" s="47">
        <v>5.9038474748978248E-2</v>
      </c>
    </row>
    <row r="100" spans="2:20" x14ac:dyDescent="0.2">
      <c r="B100" s="47">
        <v>9100</v>
      </c>
      <c r="C100" s="46">
        <v>1.3891223742618855</v>
      </c>
      <c r="D100" s="46">
        <v>13.778690316452327</v>
      </c>
      <c r="E100" s="47">
        <v>0.41486284498481801</v>
      </c>
      <c r="F100" s="47">
        <v>0.85729303038297966</v>
      </c>
      <c r="G100" s="47">
        <v>11172.74360265728</v>
      </c>
      <c r="H100" s="47">
        <v>0.47320652437832872</v>
      </c>
      <c r="I100" s="47">
        <v>2.798953518635384</v>
      </c>
      <c r="J100" s="47">
        <v>0.77165771117054904</v>
      </c>
      <c r="K100" s="47">
        <v>-0.22834228882945096</v>
      </c>
      <c r="L100" s="47">
        <v>-0.53072877333262558</v>
      </c>
      <c r="M100" s="47">
        <v>-1.1048905193448977</v>
      </c>
      <c r="N100" s="47">
        <v>1.29586</v>
      </c>
      <c r="Q100" s="47">
        <v>3.7320768000000001E-4</v>
      </c>
      <c r="R100" s="47">
        <v>2.0955907428571426E-3</v>
      </c>
      <c r="S100" s="47">
        <v>24.052990002442133</v>
      </c>
      <c r="T100" s="47">
        <v>5.9480040284273838E-2</v>
      </c>
    </row>
    <row r="101" spans="2:20" x14ac:dyDescent="0.2">
      <c r="B101" s="47">
        <v>9200</v>
      </c>
      <c r="C101" s="46">
        <v>1.3891223742618855</v>
      </c>
      <c r="D101" s="46">
        <v>13.930104495754</v>
      </c>
      <c r="E101" s="47">
        <v>0.41486284498481801</v>
      </c>
      <c r="F101" s="47">
        <v>0.85729303038297966</v>
      </c>
      <c r="G101" s="47">
        <v>11172.74360265728</v>
      </c>
      <c r="H101" s="47">
        <v>0.47320652437832872</v>
      </c>
      <c r="I101" s="47">
        <v>2.829711249609399</v>
      </c>
      <c r="J101" s="47">
        <v>0.78013746623835734</v>
      </c>
      <c r="K101" s="47">
        <v>-0.21986253376164266</v>
      </c>
      <c r="L101" s="47">
        <v>-0.55640708155372798</v>
      </c>
      <c r="M101" s="47">
        <v>-1.1241463506278988</v>
      </c>
      <c r="N101" s="47">
        <v>1.3055600000000001</v>
      </c>
      <c r="Q101" s="47">
        <v>3.7191430956521742E-4</v>
      </c>
      <c r="R101" s="47">
        <v>2.088328365217391E-3</v>
      </c>
      <c r="S101" s="47">
        <v>24.136636760141908</v>
      </c>
      <c r="T101" s="47">
        <v>5.9918605681430558E-2</v>
      </c>
    </row>
    <row r="102" spans="2:20" x14ac:dyDescent="0.2">
      <c r="B102" s="47">
        <v>9300</v>
      </c>
      <c r="C102" s="46">
        <v>1.3891223742618855</v>
      </c>
      <c r="D102" s="46">
        <v>14.081518675055674</v>
      </c>
      <c r="E102" s="47">
        <v>0.41486284498481801</v>
      </c>
      <c r="F102" s="47">
        <v>0.85729303038297966</v>
      </c>
      <c r="G102" s="47">
        <v>11172.74360265728</v>
      </c>
      <c r="H102" s="47">
        <v>0.47320652437832872</v>
      </c>
      <c r="I102" s="47">
        <v>2.860468980583414</v>
      </c>
      <c r="J102" s="47">
        <v>0.78861722130616552</v>
      </c>
      <c r="K102" s="47">
        <v>-0.21138277869383448</v>
      </c>
      <c r="L102" s="47">
        <v>-0.58251682725088982</v>
      </c>
      <c r="M102" s="47">
        <v>-1.1434434249296686</v>
      </c>
      <c r="N102" s="47">
        <v>1.3152600000000001</v>
      </c>
      <c r="Q102" s="47">
        <v>3.7064875354838716E-4</v>
      </c>
      <c r="R102" s="47">
        <v>2.0812221677419356E-3</v>
      </c>
      <c r="S102" s="47">
        <v>24.219049733571364</v>
      </c>
      <c r="T102" s="47">
        <v>6.0354188449156368E-2</v>
      </c>
    </row>
    <row r="103" spans="2:20" x14ac:dyDescent="0.2">
      <c r="B103" s="47">
        <v>9400</v>
      </c>
      <c r="C103" s="46">
        <v>1.3891223742618855</v>
      </c>
      <c r="D103" s="46">
        <v>14.232932854357347</v>
      </c>
      <c r="E103" s="47">
        <v>0.41486284498481801</v>
      </c>
      <c r="F103" s="47">
        <v>0.85729303038297966</v>
      </c>
      <c r="G103" s="47">
        <v>11172.74360265728</v>
      </c>
      <c r="H103" s="47">
        <v>0.47320652437832872</v>
      </c>
      <c r="I103" s="47">
        <v>2.8912267115574295</v>
      </c>
      <c r="J103" s="47">
        <v>0.79709697637397381</v>
      </c>
      <c r="K103" s="47">
        <v>-0.20290302362602619</v>
      </c>
      <c r="L103" s="47">
        <v>-0.60905801042411212</v>
      </c>
      <c r="M103" s="47">
        <v>-1.1627780837660833</v>
      </c>
      <c r="N103" s="47">
        <v>1.3249500000000001</v>
      </c>
      <c r="Q103" s="47">
        <v>3.694073361702128E-4</v>
      </c>
      <c r="R103" s="47">
        <v>2.0742515106382978E-3</v>
      </c>
      <c r="S103" s="47">
        <v>24.300439425324186</v>
      </c>
      <c r="T103" s="47">
        <v>6.0787787331097097E-2</v>
      </c>
    </row>
    <row r="104" spans="2:20" x14ac:dyDescent="0.2">
      <c r="B104" s="47">
        <v>9500</v>
      </c>
      <c r="C104" s="46">
        <v>1.3891223742618855</v>
      </c>
      <c r="D104" s="46">
        <v>14.384347033659022</v>
      </c>
      <c r="E104" s="47">
        <v>0.41486284498481801</v>
      </c>
      <c r="F104" s="47">
        <v>0.85729303038297966</v>
      </c>
      <c r="G104" s="47">
        <v>11172.74360265728</v>
      </c>
      <c r="H104" s="47">
        <v>0.47320652437832872</v>
      </c>
      <c r="I104" s="47">
        <v>2.9219844425314445</v>
      </c>
      <c r="J104" s="47">
        <v>0.80557673144178199</v>
      </c>
      <c r="K104" s="47">
        <v>-0.19442326855821801</v>
      </c>
      <c r="L104" s="47">
        <v>-0.6360306310733943</v>
      </c>
      <c r="M104" s="47">
        <v>-1.1821466686530178</v>
      </c>
      <c r="N104" s="47">
        <v>1.33464</v>
      </c>
      <c r="Q104" s="47">
        <v>3.6819205389473686E-4</v>
      </c>
      <c r="R104" s="47">
        <v>2.0674276042105264E-3</v>
      </c>
      <c r="S104" s="47">
        <v>24.380647276111521</v>
      </c>
      <c r="T104" s="47">
        <v>6.121844689288608E-2</v>
      </c>
    </row>
    <row r="105" spans="2:20" x14ac:dyDescent="0.2">
      <c r="B105" s="47">
        <v>9600</v>
      </c>
      <c r="C105" s="46">
        <v>1.3891223742618855</v>
      </c>
      <c r="D105" s="46">
        <v>14.535761212960695</v>
      </c>
      <c r="E105" s="47">
        <v>0.41486284498481801</v>
      </c>
      <c r="F105" s="47">
        <v>0.85729303038297966</v>
      </c>
      <c r="G105" s="47">
        <v>11172.74360265728</v>
      </c>
      <c r="H105" s="47">
        <v>0.47320652437832872</v>
      </c>
      <c r="I105" s="47">
        <v>2.9527421735054604</v>
      </c>
      <c r="J105" s="47">
        <v>0.81405648650959028</v>
      </c>
      <c r="K105" s="47">
        <v>-0.18594351349040972</v>
      </c>
      <c r="L105" s="47">
        <v>-0.66343468919873649</v>
      </c>
      <c r="M105" s="47">
        <v>-1.2015455211063493</v>
      </c>
      <c r="N105" s="47">
        <v>1.34432</v>
      </c>
      <c r="Q105" s="47">
        <v>3.6699936000000004E-4</v>
      </c>
      <c r="R105" s="47">
        <v>2.0607305333333334E-3</v>
      </c>
      <c r="S105" s="47">
        <v>24.459880790731141</v>
      </c>
      <c r="T105" s="47">
        <v>6.1647173478175471E-2</v>
      </c>
    </row>
    <row r="106" spans="2:20" x14ac:dyDescent="0.2">
      <c r="B106" s="47">
        <v>9700</v>
      </c>
      <c r="C106" s="46">
        <v>1.3891223742618855</v>
      </c>
      <c r="D106" s="46">
        <v>14.68717539226237</v>
      </c>
      <c r="E106" s="47">
        <v>0.41486284498481801</v>
      </c>
      <c r="F106" s="47">
        <v>0.85729303038297966</v>
      </c>
      <c r="G106" s="47">
        <v>11172.74360265728</v>
      </c>
      <c r="H106" s="47">
        <v>0.47320652437832872</v>
      </c>
      <c r="I106" s="47">
        <v>2.9834999044794754</v>
      </c>
      <c r="J106" s="47">
        <v>0.82253624157739835</v>
      </c>
      <c r="K106" s="47">
        <v>-0.17746375842260165</v>
      </c>
      <c r="L106" s="47">
        <v>-0.6912701848001378</v>
      </c>
      <c r="M106" s="47">
        <v>-1.2209709826419528</v>
      </c>
      <c r="N106" s="47">
        <v>1.3540000000000001</v>
      </c>
      <c r="Q106" s="47">
        <v>3.6583125773195882E-4</v>
      </c>
      <c r="R106" s="47">
        <v>2.0541715463917526E-3</v>
      </c>
      <c r="S106" s="47">
        <v>24.53798139483153</v>
      </c>
      <c r="T106" s="47">
        <v>6.2073004165399001E-2</v>
      </c>
    </row>
    <row r="107" spans="2:20" x14ac:dyDescent="0.2">
      <c r="B107" s="47">
        <v>9800</v>
      </c>
      <c r="C107" s="46">
        <v>1.3891223742618855</v>
      </c>
      <c r="D107" s="46">
        <v>14.838589571564043</v>
      </c>
      <c r="E107" s="47">
        <v>0.41486284498481801</v>
      </c>
      <c r="F107" s="47">
        <v>0.85729303038297966</v>
      </c>
      <c r="G107" s="47">
        <v>11172.74360265728</v>
      </c>
      <c r="H107" s="47">
        <v>0.47320652437832872</v>
      </c>
      <c r="I107" s="47">
        <v>3.0142576354534905</v>
      </c>
      <c r="J107" s="47">
        <v>0.83101599664520653</v>
      </c>
      <c r="K107" s="47">
        <v>-0.16898400335479347</v>
      </c>
      <c r="L107" s="47">
        <v>-0.71953711787760033</v>
      </c>
      <c r="M107" s="47">
        <v>-1.2404193947757043</v>
      </c>
      <c r="N107" s="47">
        <v>1.3636699999999999</v>
      </c>
      <c r="Q107" s="47">
        <v>3.6468432000000002E-4</v>
      </c>
      <c r="R107" s="47">
        <v>2.0477313999999998E-3</v>
      </c>
      <c r="S107" s="47">
        <v>24.615153719454195</v>
      </c>
      <c r="T107" s="47">
        <v>6.2496952503718749E-2</v>
      </c>
    </row>
    <row r="108" spans="2:20" x14ac:dyDescent="0.2">
      <c r="B108" s="47">
        <v>9900</v>
      </c>
      <c r="C108" s="46">
        <v>1.3891223742618855</v>
      </c>
      <c r="D108" s="46">
        <v>14.990003750865718</v>
      </c>
      <c r="E108" s="47">
        <v>0.41486284498481801</v>
      </c>
      <c r="F108" s="47">
        <v>0.85729303038297966</v>
      </c>
      <c r="G108" s="47">
        <v>11172.74360265728</v>
      </c>
      <c r="H108" s="47">
        <v>0.47320652437832872</v>
      </c>
      <c r="I108" s="47">
        <v>3.0450153664275059</v>
      </c>
      <c r="J108" s="47">
        <v>0.83949575171301483</v>
      </c>
      <c r="K108" s="47">
        <v>-0.16050424828698517</v>
      </c>
      <c r="L108" s="47">
        <v>-0.74823548843112331</v>
      </c>
      <c r="M108" s="47">
        <v>-1.2598870990234801</v>
      </c>
      <c r="N108" s="47">
        <v>1.37334</v>
      </c>
      <c r="Q108" s="47">
        <v>3.6356055272727272E-4</v>
      </c>
      <c r="R108" s="47">
        <v>2.0414213575757575E-3</v>
      </c>
      <c r="S108" s="47">
        <v>24.691239268217853</v>
      </c>
      <c r="T108" s="47">
        <v>6.2918048360683029E-2</v>
      </c>
    </row>
    <row r="109" spans="2:20" x14ac:dyDescent="0.2">
      <c r="B109" s="47">
        <v>10000</v>
      </c>
      <c r="C109" s="46">
        <v>1.3891223742618855</v>
      </c>
      <c r="D109" s="46">
        <v>15.141417930167391</v>
      </c>
      <c r="E109" s="47">
        <v>0.41486284498481801</v>
      </c>
      <c r="F109" s="47">
        <v>0.85729303038297966</v>
      </c>
      <c r="G109" s="47">
        <v>11172.74360265728</v>
      </c>
      <c r="H109" s="47">
        <v>0.47320652437832872</v>
      </c>
      <c r="I109" s="47">
        <v>3.0757730974015209</v>
      </c>
      <c r="J109" s="47">
        <v>0.84797550678082301</v>
      </c>
      <c r="K109" s="47">
        <v>-0.15202449321917699</v>
      </c>
      <c r="L109" s="47">
        <v>-0.77736529646070585</v>
      </c>
      <c r="M109" s="47">
        <v>-1.2793704369011558</v>
      </c>
      <c r="N109" s="47">
        <v>1.383</v>
      </c>
      <c r="Q109" s="47">
        <v>3.6245663999999998E-4</v>
      </c>
      <c r="R109" s="47">
        <v>2.0352228E-3</v>
      </c>
      <c r="S109" s="47">
        <v>24.766439913680774</v>
      </c>
      <c r="T109" s="47">
        <v>6.3337312118207409E-2</v>
      </c>
    </row>
    <row r="110" spans="2:20" x14ac:dyDescent="0.2">
      <c r="C110" s="46"/>
      <c r="D110" s="46"/>
    </row>
  </sheetData>
  <mergeCells count="1">
    <mergeCell ref="E7:P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Z84"/>
  <sheetViews>
    <sheetView showGridLines="0" workbookViewId="0">
      <selection activeCell="AE34" sqref="AE34"/>
    </sheetView>
  </sheetViews>
  <sheetFormatPr defaultColWidth="9" defaultRowHeight="12" x14ac:dyDescent="0.2"/>
  <cols>
    <col min="1" max="1" width="1.7109375" style="45" customWidth="1"/>
    <col min="2" max="2" width="11.42578125" style="45" customWidth="1"/>
    <col min="3" max="4" width="9.140625" style="45" customWidth="1"/>
    <col min="5" max="5" width="11.42578125" style="45" customWidth="1"/>
    <col min="6" max="27" width="3.85546875" style="45" customWidth="1"/>
    <col min="28" max="37" width="6.28515625" style="45" customWidth="1"/>
    <col min="38" max="39" width="9" style="107"/>
    <col min="40" max="41" width="9" style="45"/>
    <col min="42" max="45" width="11.5703125" style="45" customWidth="1"/>
    <col min="46" max="16384" width="9" style="45"/>
  </cols>
  <sheetData>
    <row r="1" spans="2:234" x14ac:dyDescent="0.2">
      <c r="B1" s="126"/>
      <c r="C1" s="124" t="s">
        <v>72</v>
      </c>
      <c r="D1" s="125" t="s">
        <v>74</v>
      </c>
      <c r="E1" s="121" t="s">
        <v>75</v>
      </c>
    </row>
    <row r="2" spans="2:234" x14ac:dyDescent="0.2">
      <c r="B2" s="119" t="s">
        <v>43</v>
      </c>
      <c r="C2" s="183">
        <v>100</v>
      </c>
      <c r="D2" s="184">
        <v>20000</v>
      </c>
      <c r="E2" s="122">
        <v>20</v>
      </c>
      <c r="AN2" s="79" t="s">
        <v>78</v>
      </c>
      <c r="AO2" s="276" t="s">
        <v>49</v>
      </c>
      <c r="AP2" s="276" t="s">
        <v>50</v>
      </c>
      <c r="AQ2" s="276" t="s">
        <v>51</v>
      </c>
      <c r="AR2" s="275" t="s">
        <v>108</v>
      </c>
    </row>
    <row r="3" spans="2:234" x14ac:dyDescent="0.2">
      <c r="B3" s="120" t="s">
        <v>40</v>
      </c>
      <c r="C3" s="185">
        <f>+Reservoir!D22</f>
        <v>305.30511811023621</v>
      </c>
      <c r="D3" s="186">
        <f>+Reservoir!E22</f>
        <v>313.91732283464569</v>
      </c>
      <c r="E3" s="123">
        <v>2</v>
      </c>
      <c r="AN3" s="277"/>
      <c r="AO3" s="199" t="s">
        <v>61</v>
      </c>
      <c r="AP3" s="199" t="s">
        <v>79</v>
      </c>
      <c r="AQ3" s="199" t="s">
        <v>63</v>
      </c>
      <c r="AR3" s="278" t="s">
        <v>107</v>
      </c>
    </row>
    <row r="4" spans="2:234" x14ac:dyDescent="0.2">
      <c r="B4"/>
      <c r="C4"/>
      <c r="D4"/>
      <c r="AM4" s="107" t="s">
        <v>80</v>
      </c>
      <c r="AN4" s="279">
        <v>1.90117</v>
      </c>
      <c r="AO4" s="280">
        <v>0.21791912897834645</v>
      </c>
      <c r="AP4" s="280">
        <v>24.482937947143501</v>
      </c>
      <c r="AQ4" s="280">
        <v>6.1471355132495104E-2</v>
      </c>
      <c r="AR4" s="281">
        <v>485.7222406542881</v>
      </c>
    </row>
    <row r="5" spans="2:234" x14ac:dyDescent="0.2">
      <c r="B5"/>
      <c r="C5"/>
      <c r="D5"/>
      <c r="AM5" s="107" t="s">
        <v>81</v>
      </c>
      <c r="AN5" s="282">
        <v>0.94664000000000004</v>
      </c>
      <c r="AO5" s="283">
        <v>2.0587898109276576E-3</v>
      </c>
      <c r="AP5" s="283">
        <v>0.2313024259204049</v>
      </c>
      <c r="AQ5" s="283">
        <v>1.531352127374472E-2</v>
      </c>
      <c r="AR5" s="284">
        <v>4.5888582828328257</v>
      </c>
    </row>
    <row r="6" spans="2:234" x14ac:dyDescent="0.2">
      <c r="B6"/>
      <c r="C6"/>
      <c r="D6"/>
      <c r="AM6" s="109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2:234" x14ac:dyDescent="0.2">
      <c r="AL7" s="110"/>
      <c r="AM7" s="214"/>
      <c r="AN7" s="108" t="s">
        <v>76</v>
      </c>
      <c r="AO7" s="105">
        <v>305.30511811023621</v>
      </c>
      <c r="AP7" s="108" t="s">
        <v>77</v>
      </c>
      <c r="AQ7" s="104">
        <v>2.0444</v>
      </c>
      <c r="AR7" s="105"/>
      <c r="AS7" s="108" t="s">
        <v>76</v>
      </c>
      <c r="AT7" s="105">
        <v>313.91732283464569</v>
      </c>
      <c r="AU7" s="108" t="s">
        <v>77</v>
      </c>
      <c r="AV7" s="104">
        <v>2.0674000000000001</v>
      </c>
      <c r="AW7" s="105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  <c r="EJ7" s="106"/>
      <c r="EK7" s="106"/>
      <c r="EL7" s="106"/>
      <c r="EM7" s="106"/>
      <c r="EN7" s="106"/>
      <c r="EO7" s="106"/>
      <c r="EP7" s="106"/>
      <c r="EQ7" s="106"/>
      <c r="ER7" s="106"/>
      <c r="ES7" s="106"/>
      <c r="ET7" s="106"/>
      <c r="EU7" s="106"/>
      <c r="EV7" s="106"/>
      <c r="EW7" s="106"/>
      <c r="EX7" s="106"/>
      <c r="EY7" s="106"/>
      <c r="EZ7" s="106"/>
      <c r="FA7" s="106"/>
      <c r="FB7" s="106"/>
      <c r="FC7" s="106"/>
      <c r="FD7" s="106"/>
      <c r="FE7" s="106"/>
      <c r="FF7" s="106"/>
      <c r="FG7" s="106"/>
      <c r="FH7" s="106"/>
      <c r="FI7" s="106"/>
      <c r="FJ7" s="106"/>
      <c r="FK7" s="106"/>
      <c r="FL7" s="106"/>
      <c r="FM7" s="106"/>
      <c r="FN7" s="106"/>
      <c r="FO7" s="106"/>
      <c r="FP7" s="106"/>
      <c r="FQ7" s="106"/>
      <c r="FR7" s="106"/>
      <c r="FS7" s="106"/>
      <c r="FT7" s="106"/>
      <c r="FU7" s="106"/>
      <c r="FV7" s="106"/>
      <c r="FW7" s="106"/>
      <c r="FX7" s="106"/>
      <c r="FY7" s="106"/>
      <c r="FZ7" s="106"/>
      <c r="GA7" s="106"/>
      <c r="GB7" s="106"/>
      <c r="GC7" s="106"/>
      <c r="GD7" s="106"/>
      <c r="GE7" s="106"/>
      <c r="GF7" s="106"/>
      <c r="GG7" s="106"/>
      <c r="GH7" s="106"/>
      <c r="GI7" s="106"/>
      <c r="GJ7" s="106"/>
      <c r="GK7" s="106"/>
      <c r="GL7" s="106"/>
      <c r="GM7" s="106"/>
      <c r="GN7" s="106"/>
      <c r="GO7" s="106"/>
      <c r="GP7" s="106"/>
      <c r="GQ7" s="106"/>
      <c r="GR7" s="106"/>
      <c r="GS7" s="106"/>
      <c r="GT7" s="106"/>
      <c r="GU7" s="106"/>
      <c r="GV7" s="106"/>
      <c r="GW7" s="106"/>
      <c r="GX7" s="106"/>
      <c r="GY7" s="106"/>
      <c r="GZ7" s="106"/>
      <c r="HA7" s="106"/>
      <c r="HB7" s="106"/>
      <c r="HC7" s="106"/>
      <c r="HD7" s="106"/>
      <c r="HE7" s="106"/>
      <c r="HF7" s="106"/>
      <c r="HG7" s="106"/>
      <c r="HH7" s="106"/>
      <c r="HI7" s="106"/>
      <c r="HJ7" s="106"/>
      <c r="HK7" s="106"/>
      <c r="HL7" s="106"/>
      <c r="HM7" s="106"/>
      <c r="HN7" s="106"/>
      <c r="HO7" s="106"/>
      <c r="HP7" s="106"/>
      <c r="HQ7" s="106"/>
      <c r="HR7" s="106"/>
      <c r="HS7" s="106"/>
      <c r="HT7" s="106"/>
      <c r="HU7" s="106"/>
      <c r="HV7" s="106"/>
      <c r="HW7" s="106"/>
      <c r="HX7" s="106"/>
      <c r="HY7" s="106"/>
      <c r="HZ7" s="106"/>
    </row>
    <row r="8" spans="2:234" x14ac:dyDescent="0.2">
      <c r="AL8" s="116" t="s">
        <v>43</v>
      </c>
      <c r="AM8" s="206" t="s">
        <v>73</v>
      </c>
      <c r="AN8" s="117" t="s">
        <v>78</v>
      </c>
      <c r="AO8" s="118" t="s">
        <v>49</v>
      </c>
      <c r="AP8" s="118" t="s">
        <v>50</v>
      </c>
      <c r="AQ8" s="118" t="s">
        <v>51</v>
      </c>
      <c r="AR8" s="208" t="s">
        <v>108</v>
      </c>
      <c r="AS8" s="117" t="s">
        <v>78</v>
      </c>
      <c r="AT8" s="118" t="s">
        <v>49</v>
      </c>
      <c r="AU8" s="118" t="s">
        <v>50</v>
      </c>
      <c r="AV8" s="118" t="s">
        <v>51</v>
      </c>
      <c r="AW8" s="211" t="s">
        <v>108</v>
      </c>
      <c r="AX8" s="181"/>
      <c r="AY8" s="181"/>
      <c r="AZ8" s="181"/>
      <c r="BA8" s="181"/>
      <c r="BB8" s="106"/>
      <c r="BC8" s="182"/>
      <c r="BD8" s="182"/>
      <c r="BE8" s="182"/>
      <c r="BF8" s="182"/>
      <c r="BG8" s="106"/>
      <c r="BH8" s="182"/>
      <c r="BI8" s="182"/>
      <c r="BJ8" s="182"/>
      <c r="BK8" s="182"/>
      <c r="BL8" s="106"/>
      <c r="BM8" s="182"/>
      <c r="BN8" s="182"/>
      <c r="BO8" s="182"/>
      <c r="BP8" s="182"/>
      <c r="BQ8" s="106"/>
      <c r="BR8" s="182"/>
      <c r="BS8" s="182"/>
      <c r="BT8" s="182"/>
      <c r="BU8" s="182"/>
      <c r="BV8" s="106"/>
      <c r="BW8" s="182"/>
      <c r="BX8" s="182"/>
      <c r="BY8" s="182"/>
      <c r="BZ8" s="182"/>
      <c r="CA8" s="106"/>
      <c r="CB8" s="182"/>
      <c r="CC8" s="182"/>
      <c r="CD8" s="182"/>
      <c r="CE8" s="182"/>
      <c r="CF8" s="106"/>
      <c r="CG8" s="182"/>
      <c r="CH8" s="182"/>
      <c r="CI8" s="182"/>
      <c r="CJ8" s="182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06"/>
      <c r="GT8" s="106"/>
      <c r="GU8" s="106"/>
      <c r="GV8" s="106"/>
      <c r="GW8" s="106"/>
      <c r="GX8" s="106"/>
      <c r="GY8" s="106"/>
      <c r="GZ8" s="106"/>
      <c r="HA8" s="106"/>
      <c r="HB8" s="106"/>
      <c r="HC8" s="106"/>
      <c r="HD8" s="106"/>
      <c r="HE8" s="106"/>
      <c r="HF8" s="106"/>
      <c r="HG8" s="106"/>
      <c r="HH8" s="106"/>
      <c r="HI8" s="106"/>
      <c r="HJ8" s="106"/>
      <c r="HK8" s="106"/>
      <c r="HL8" s="106"/>
      <c r="HM8" s="106"/>
      <c r="HN8" s="106"/>
      <c r="HO8" s="106"/>
      <c r="HP8" s="106"/>
      <c r="HQ8" s="106"/>
      <c r="HR8" s="106"/>
      <c r="HS8" s="106"/>
      <c r="HT8" s="106"/>
      <c r="HU8" s="106"/>
      <c r="HV8" s="106"/>
      <c r="HW8" s="106"/>
      <c r="HX8" s="106"/>
      <c r="HY8" s="106"/>
      <c r="HZ8" s="106"/>
    </row>
    <row r="9" spans="2:234" x14ac:dyDescent="0.2">
      <c r="AL9" s="111" t="s">
        <v>31</v>
      </c>
      <c r="AM9" s="207" t="s">
        <v>31</v>
      </c>
      <c r="AN9" s="114"/>
      <c r="AO9" s="115" t="s">
        <v>61</v>
      </c>
      <c r="AP9" s="115" t="s">
        <v>79</v>
      </c>
      <c r="AQ9" s="115" t="s">
        <v>63</v>
      </c>
      <c r="AR9" s="209" t="s">
        <v>107</v>
      </c>
      <c r="AS9" s="114"/>
      <c r="AT9" s="115" t="s">
        <v>61</v>
      </c>
      <c r="AU9" s="115" t="s">
        <v>79</v>
      </c>
      <c r="AV9" s="115" t="s">
        <v>63</v>
      </c>
      <c r="AW9" s="212" t="s">
        <v>107</v>
      </c>
      <c r="AX9" s="182"/>
      <c r="AY9" s="182"/>
      <c r="AZ9" s="182"/>
      <c r="BA9" s="182"/>
      <c r="BB9" s="106"/>
      <c r="BC9" s="182"/>
      <c r="BD9" s="182"/>
      <c r="BE9" s="182"/>
      <c r="BF9" s="182"/>
      <c r="BG9" s="106"/>
      <c r="BH9" s="182"/>
      <c r="BI9" s="182"/>
      <c r="BJ9" s="182"/>
      <c r="BK9" s="182"/>
      <c r="BL9" s="106"/>
      <c r="BM9" s="182"/>
      <c r="BN9" s="182"/>
      <c r="BO9" s="182"/>
      <c r="BP9" s="182"/>
      <c r="BQ9" s="106"/>
      <c r="BR9" s="182"/>
      <c r="BS9" s="182"/>
      <c r="BT9" s="182"/>
      <c r="BU9" s="182"/>
      <c r="BV9" s="106"/>
      <c r="BW9" s="182"/>
      <c r="BX9" s="182"/>
      <c r="BY9" s="182"/>
      <c r="BZ9" s="182"/>
      <c r="CA9" s="106"/>
      <c r="CB9" s="182"/>
      <c r="CC9" s="182"/>
      <c r="CD9" s="182"/>
      <c r="CE9" s="182"/>
      <c r="CF9" s="106"/>
      <c r="CG9" s="182"/>
      <c r="CH9" s="182"/>
      <c r="CI9" s="182"/>
      <c r="CJ9" s="182"/>
      <c r="CK9" s="106"/>
      <c r="CL9" s="106"/>
      <c r="CM9" s="106"/>
      <c r="CN9" s="106"/>
      <c r="CO9" s="106"/>
      <c r="CP9" s="106"/>
      <c r="CQ9" s="106"/>
      <c r="CR9" s="106"/>
      <c r="CS9" s="106"/>
      <c r="CT9" s="106"/>
      <c r="CU9" s="106"/>
      <c r="CV9" s="106"/>
      <c r="CW9" s="106"/>
      <c r="CX9" s="106"/>
      <c r="CY9" s="106"/>
      <c r="CZ9" s="106"/>
      <c r="DA9" s="106"/>
      <c r="DB9" s="106"/>
      <c r="DC9" s="106"/>
      <c r="DD9" s="106"/>
      <c r="DE9" s="106"/>
      <c r="DF9" s="106"/>
      <c r="DG9" s="106"/>
      <c r="DH9" s="106"/>
      <c r="DI9" s="106"/>
      <c r="DJ9" s="106"/>
      <c r="DK9" s="106"/>
      <c r="DL9" s="106"/>
      <c r="DM9" s="106"/>
      <c r="DN9" s="106"/>
      <c r="DO9" s="106"/>
      <c r="DP9" s="106"/>
      <c r="DQ9" s="106"/>
      <c r="DR9" s="106"/>
      <c r="DS9" s="106"/>
      <c r="DT9" s="106"/>
      <c r="DU9" s="106"/>
      <c r="DV9" s="106"/>
      <c r="DW9" s="106"/>
      <c r="DX9" s="106"/>
      <c r="DY9" s="106"/>
      <c r="DZ9" s="106"/>
      <c r="EA9" s="106"/>
      <c r="EB9" s="106"/>
      <c r="EC9" s="106"/>
      <c r="ED9" s="106"/>
      <c r="EE9" s="106"/>
      <c r="EF9" s="106"/>
      <c r="EG9" s="106"/>
      <c r="EH9" s="106"/>
      <c r="EI9" s="106"/>
      <c r="EJ9" s="106"/>
      <c r="EK9" s="106"/>
      <c r="EL9" s="106"/>
      <c r="EM9" s="106"/>
      <c r="EN9" s="106"/>
      <c r="EO9" s="106"/>
      <c r="EP9" s="106"/>
      <c r="EQ9" s="106"/>
      <c r="ER9" s="106"/>
      <c r="ES9" s="106"/>
      <c r="ET9" s="106"/>
      <c r="EU9" s="106"/>
      <c r="EV9" s="106"/>
      <c r="EW9" s="106"/>
      <c r="EX9" s="106"/>
      <c r="EY9" s="106"/>
      <c r="EZ9" s="106"/>
      <c r="FA9" s="106"/>
      <c r="FB9" s="106"/>
      <c r="FC9" s="106"/>
      <c r="FD9" s="106"/>
      <c r="FE9" s="106"/>
      <c r="FF9" s="106"/>
      <c r="FG9" s="106"/>
      <c r="FH9" s="106"/>
      <c r="FI9" s="106"/>
      <c r="FJ9" s="106"/>
      <c r="FK9" s="106"/>
      <c r="FL9" s="106"/>
      <c r="FM9" s="106"/>
      <c r="FN9" s="106"/>
      <c r="FO9" s="106"/>
      <c r="FP9" s="106"/>
      <c r="FQ9" s="106"/>
      <c r="FR9" s="106"/>
      <c r="FS9" s="106"/>
      <c r="FT9" s="106"/>
      <c r="FU9" s="106"/>
      <c r="FV9" s="106"/>
      <c r="FW9" s="106"/>
      <c r="FX9" s="106"/>
      <c r="FY9" s="106"/>
      <c r="FZ9" s="106"/>
      <c r="GA9" s="106"/>
      <c r="GB9" s="106"/>
      <c r="GC9" s="106"/>
      <c r="GD9" s="106"/>
      <c r="GE9" s="106"/>
      <c r="GF9" s="106"/>
      <c r="GG9" s="106"/>
      <c r="GH9" s="106"/>
      <c r="GI9" s="106"/>
      <c r="GJ9" s="106"/>
      <c r="GK9" s="106"/>
      <c r="GL9" s="106"/>
      <c r="GM9" s="106"/>
      <c r="GN9" s="106"/>
      <c r="GO9" s="106"/>
      <c r="GP9" s="106"/>
      <c r="GQ9" s="106"/>
      <c r="GR9" s="106"/>
      <c r="GS9" s="106"/>
      <c r="GT9" s="106"/>
      <c r="GU9" s="106"/>
      <c r="GV9" s="106"/>
      <c r="GW9" s="106"/>
      <c r="GX9" s="106"/>
      <c r="GY9" s="106"/>
      <c r="GZ9" s="106"/>
      <c r="HA9" s="106"/>
      <c r="HB9" s="106"/>
      <c r="HC9" s="106"/>
      <c r="HD9" s="106"/>
      <c r="HE9" s="106"/>
      <c r="HF9" s="106"/>
      <c r="HG9" s="106"/>
      <c r="HH9" s="106"/>
      <c r="HI9" s="106"/>
      <c r="HJ9" s="106"/>
      <c r="HK9" s="106"/>
      <c r="HL9" s="106"/>
      <c r="HM9" s="106"/>
      <c r="HN9" s="106"/>
      <c r="HO9" s="106"/>
      <c r="HP9" s="106"/>
      <c r="HQ9" s="106"/>
      <c r="HR9" s="106"/>
      <c r="HS9" s="106"/>
      <c r="HT9" s="106"/>
      <c r="HU9" s="106"/>
      <c r="HV9" s="106"/>
      <c r="HW9" s="106"/>
      <c r="HX9" s="106"/>
      <c r="HY9" s="106"/>
      <c r="HZ9" s="106"/>
    </row>
    <row r="10" spans="2:234" x14ac:dyDescent="0.2">
      <c r="AH10" s="60"/>
      <c r="AI10" s="60"/>
      <c r="AJ10" s="156"/>
      <c r="AL10" s="112">
        <v>100</v>
      </c>
      <c r="AM10" s="113">
        <v>0.15140000000000001</v>
      </c>
      <c r="AN10" s="113">
        <v>0.99470999999999998</v>
      </c>
      <c r="AO10" s="113">
        <v>0.21543563309202757</v>
      </c>
      <c r="AP10" s="113">
        <v>0.23396883079978489</v>
      </c>
      <c r="AQ10" s="113">
        <v>1.531352127374472E-2</v>
      </c>
      <c r="AR10" s="210">
        <v>4.6417576593414811</v>
      </c>
      <c r="AS10" s="113">
        <v>0.99497999999999998</v>
      </c>
      <c r="AT10" s="113">
        <v>0.21791912897834645</v>
      </c>
      <c r="AU10" s="113">
        <v>0.2313024259204049</v>
      </c>
      <c r="AV10" s="113">
        <v>1.5472050461694193E-2</v>
      </c>
      <c r="AW10" s="213">
        <v>4.5888582828328257</v>
      </c>
      <c r="AX10" s="113"/>
      <c r="AY10" s="113"/>
      <c r="AZ10" s="113"/>
      <c r="BA10" s="113"/>
      <c r="BC10" s="113"/>
      <c r="BD10" s="113"/>
      <c r="BE10" s="113"/>
      <c r="BF10" s="113"/>
      <c r="BH10" s="113"/>
      <c r="BI10" s="113"/>
      <c r="BJ10" s="113"/>
      <c r="BK10" s="113"/>
      <c r="BM10" s="113"/>
      <c r="BN10" s="113"/>
      <c r="BO10" s="113"/>
      <c r="BP10" s="113"/>
      <c r="BR10" s="113"/>
      <c r="BS10" s="113"/>
      <c r="BT10" s="113"/>
      <c r="BU10" s="113"/>
      <c r="BW10" s="113"/>
      <c r="BX10" s="113"/>
      <c r="BY10" s="113"/>
      <c r="BZ10" s="113"/>
      <c r="CB10" s="113"/>
      <c r="CC10" s="113"/>
      <c r="CD10" s="113"/>
      <c r="CE10" s="113"/>
      <c r="CG10" s="113"/>
      <c r="CH10" s="113"/>
      <c r="CI10" s="113"/>
      <c r="CJ10" s="113"/>
    </row>
    <row r="11" spans="2:234" x14ac:dyDescent="0.2">
      <c r="AH11" s="60"/>
      <c r="AI11" s="60"/>
      <c r="AJ11" s="156"/>
      <c r="AL11" s="112">
        <v>1147.3699999999999</v>
      </c>
      <c r="AM11" s="113">
        <v>1.7373000000000001</v>
      </c>
      <c r="AN11" s="113">
        <v>0.95587999999999995</v>
      </c>
      <c r="AO11" s="113">
        <v>1.8043506395729117E-2</v>
      </c>
      <c r="AP11" s="113">
        <v>2.7935381339784389</v>
      </c>
      <c r="AQ11" s="113">
        <v>1.645044752390349E-2</v>
      </c>
      <c r="AR11" s="210">
        <v>55.42160032911891</v>
      </c>
      <c r="AS11" s="113">
        <v>0.95845999999999998</v>
      </c>
      <c r="AT11" s="113">
        <v>1.8295804284588123E-2</v>
      </c>
      <c r="AU11" s="113">
        <v>2.7550154343098812</v>
      </c>
      <c r="AV11" s="113">
        <v>1.6583929011634874E-2</v>
      </c>
      <c r="AW11" s="213">
        <v>54.657340253818312</v>
      </c>
      <c r="AX11" s="113"/>
      <c r="AY11" s="113"/>
      <c r="AZ11" s="113"/>
      <c r="BA11" s="113"/>
      <c r="BC11" s="113"/>
      <c r="BD11" s="113"/>
      <c r="BE11" s="113"/>
      <c r="BF11" s="113"/>
      <c r="BH11" s="113"/>
      <c r="BI11" s="113"/>
      <c r="BJ11" s="113"/>
      <c r="BK11" s="113"/>
      <c r="BM11" s="113"/>
      <c r="BN11" s="113"/>
      <c r="BO11" s="113"/>
      <c r="BP11" s="113"/>
      <c r="BR11" s="113"/>
      <c r="BS11" s="113"/>
      <c r="BT11" s="113"/>
      <c r="BU11" s="113"/>
      <c r="BW11" s="113"/>
      <c r="BX11" s="113"/>
      <c r="BY11" s="113"/>
      <c r="BZ11" s="113"/>
      <c r="CB11" s="113"/>
      <c r="CC11" s="113"/>
      <c r="CD11" s="113"/>
      <c r="CE11" s="113"/>
      <c r="CG11" s="113"/>
      <c r="CH11" s="113"/>
      <c r="CI11" s="113"/>
      <c r="CJ11" s="113"/>
    </row>
    <row r="12" spans="2:234" x14ac:dyDescent="0.2">
      <c r="AH12" s="60"/>
      <c r="AI12" s="60"/>
      <c r="AJ12" s="156"/>
      <c r="AL12" s="112">
        <v>2194.7399999999998</v>
      </c>
      <c r="AM12" s="113">
        <v>3.3231000000000002</v>
      </c>
      <c r="AN12" s="113">
        <v>0.94664000000000004</v>
      </c>
      <c r="AO12" s="113">
        <v>9.3416335271252343E-3</v>
      </c>
      <c r="AP12" s="113">
        <v>5.3957611418593823</v>
      </c>
      <c r="AQ12" s="113">
        <v>1.8296545041871875E-2</v>
      </c>
      <c r="AR12" s="210">
        <v>107.04765896631538</v>
      </c>
      <c r="AS12" s="113">
        <v>0.95043999999999995</v>
      </c>
      <c r="AT12" s="113">
        <v>9.4846788425569269E-3</v>
      </c>
      <c r="AU12" s="113">
        <v>5.3143837576227995</v>
      </c>
      <c r="AV12" s="113">
        <v>1.8385087399623135E-2</v>
      </c>
      <c r="AW12" s="213">
        <v>105.4331956410677</v>
      </c>
      <c r="AX12" s="113"/>
      <c r="AY12" s="113"/>
      <c r="AZ12" s="113"/>
      <c r="BA12" s="113"/>
      <c r="BC12" s="113"/>
      <c r="BD12" s="113"/>
      <c r="BE12" s="113"/>
      <c r="BF12" s="113"/>
      <c r="BH12" s="113"/>
      <c r="BI12" s="113"/>
      <c r="BJ12" s="113"/>
      <c r="BK12" s="113"/>
      <c r="BM12" s="113"/>
      <c r="BN12" s="113"/>
      <c r="BO12" s="113"/>
      <c r="BP12" s="113"/>
      <c r="BR12" s="113"/>
      <c r="BS12" s="113"/>
      <c r="BT12" s="113"/>
      <c r="BU12" s="113"/>
      <c r="BW12" s="113"/>
      <c r="BX12" s="113"/>
      <c r="BY12" s="113"/>
      <c r="BZ12" s="113"/>
      <c r="CB12" s="113"/>
      <c r="CC12" s="113"/>
      <c r="CD12" s="113"/>
      <c r="CE12" s="113"/>
      <c r="CG12" s="113"/>
      <c r="CH12" s="113"/>
      <c r="CI12" s="113"/>
      <c r="CJ12" s="113"/>
    </row>
    <row r="13" spans="2:234" x14ac:dyDescent="0.2">
      <c r="AH13" s="60"/>
      <c r="AI13" s="60"/>
      <c r="AJ13" s="156"/>
      <c r="AL13" s="112">
        <v>3242.11</v>
      </c>
      <c r="AM13" s="113">
        <v>4.9089999999999998</v>
      </c>
      <c r="AN13" s="113">
        <v>0.96192999999999995</v>
      </c>
      <c r="AO13" s="113">
        <v>6.4259416395695875E-3</v>
      </c>
      <c r="AP13" s="113">
        <v>7.844021314599007</v>
      </c>
      <c r="AQ13" s="113">
        <v>2.0603217328657358E-2</v>
      </c>
      <c r="AR13" s="210">
        <v>155.61921599819888</v>
      </c>
      <c r="AS13" s="113">
        <v>0.96594000000000002</v>
      </c>
      <c r="AT13" s="113">
        <v>6.5253439508760665E-3</v>
      </c>
      <c r="AU13" s="113">
        <v>7.7245312379872226</v>
      </c>
      <c r="AV13" s="113">
        <v>2.0633217430351895E-2</v>
      </c>
      <c r="AW13" s="213">
        <v>153.24862682000756</v>
      </c>
      <c r="AX13" s="113"/>
      <c r="AY13" s="113"/>
      <c r="AZ13" s="113"/>
      <c r="BA13" s="113"/>
      <c r="BC13" s="113"/>
      <c r="BD13" s="113"/>
      <c r="BE13" s="113"/>
      <c r="BF13" s="113"/>
      <c r="BH13" s="113"/>
      <c r="BI13" s="113"/>
      <c r="BJ13" s="113"/>
      <c r="BK13" s="113"/>
      <c r="BM13" s="113"/>
      <c r="BN13" s="113"/>
      <c r="BO13" s="113"/>
      <c r="BP13" s="113"/>
      <c r="BR13" s="113"/>
      <c r="BS13" s="113"/>
      <c r="BT13" s="113"/>
      <c r="BU13" s="113"/>
      <c r="BW13" s="113"/>
      <c r="BX13" s="113"/>
      <c r="BY13" s="113"/>
      <c r="BZ13" s="113"/>
      <c r="CB13" s="113"/>
      <c r="CC13" s="113"/>
      <c r="CD13" s="113"/>
      <c r="CE13" s="113"/>
      <c r="CG13" s="113"/>
      <c r="CH13" s="113"/>
      <c r="CI13" s="113"/>
      <c r="CJ13" s="113"/>
    </row>
    <row r="14" spans="2:234" x14ac:dyDescent="0.2">
      <c r="AH14" s="60"/>
      <c r="AI14" s="60"/>
      <c r="AJ14" s="156"/>
      <c r="AL14" s="112">
        <v>4289.47</v>
      </c>
      <c r="AM14" s="113">
        <v>6.4949000000000003</v>
      </c>
      <c r="AN14" s="113">
        <v>0.99460000000000004</v>
      </c>
      <c r="AO14" s="113">
        <v>5.0218747104817333E-3</v>
      </c>
      <c r="AP14" s="113">
        <v>10.037132762780121</v>
      </c>
      <c r="AQ14" s="113">
        <v>2.3189833261017742E-2</v>
      </c>
      <c r="AR14" s="210">
        <v>199.12882292996773</v>
      </c>
      <c r="AS14" s="113">
        <v>0.99819000000000002</v>
      </c>
      <c r="AT14" s="113">
        <v>5.0967177458270865E-3</v>
      </c>
      <c r="AU14" s="113">
        <v>9.8897419282090269</v>
      </c>
      <c r="AV14" s="113">
        <v>2.3156197741283996E-2</v>
      </c>
      <c r="AW14" s="213">
        <v>196.2047046491333</v>
      </c>
      <c r="AX14" s="113"/>
      <c r="AY14" s="113"/>
      <c r="AZ14" s="113"/>
      <c r="BA14" s="113"/>
      <c r="BC14" s="113"/>
      <c r="BD14" s="113"/>
      <c r="BE14" s="113"/>
      <c r="BF14" s="113"/>
      <c r="BH14" s="113"/>
      <c r="BI14" s="113"/>
      <c r="BJ14" s="113"/>
      <c r="BK14" s="113"/>
      <c r="BM14" s="113"/>
      <c r="BN14" s="113"/>
      <c r="BO14" s="113"/>
      <c r="BP14" s="113"/>
      <c r="BR14" s="113"/>
      <c r="BS14" s="113"/>
      <c r="BT14" s="113"/>
      <c r="BU14" s="113"/>
      <c r="BW14" s="113"/>
      <c r="BX14" s="113"/>
      <c r="BY14" s="113"/>
      <c r="BZ14" s="113"/>
      <c r="CB14" s="113"/>
      <c r="CC14" s="113"/>
      <c r="CD14" s="113"/>
      <c r="CE14" s="113"/>
      <c r="CG14" s="113"/>
      <c r="CH14" s="113"/>
      <c r="CI14" s="113"/>
      <c r="CJ14" s="113"/>
    </row>
    <row r="15" spans="2:234" x14ac:dyDescent="0.2">
      <c r="AH15" s="60"/>
      <c r="AI15" s="60"/>
      <c r="AJ15" s="156"/>
      <c r="AL15" s="112">
        <v>5336.84</v>
      </c>
      <c r="AM15" s="113">
        <v>8.0807000000000002</v>
      </c>
      <c r="AN15" s="113">
        <v>1.0386200000000001</v>
      </c>
      <c r="AO15" s="113">
        <v>4.214960915099159E-3</v>
      </c>
      <c r="AP15" s="113">
        <v>11.958645454240784</v>
      </c>
      <c r="AQ15" s="113">
        <v>2.5924024817414307E-2</v>
      </c>
      <c r="AR15" s="210">
        <v>237.25012405636377</v>
      </c>
      <c r="AS15" s="113">
        <v>1.0414600000000001</v>
      </c>
      <c r="AT15" s="113">
        <v>4.2740481936153563E-3</v>
      </c>
      <c r="AU15" s="113">
        <v>11.793321203642321</v>
      </c>
      <c r="AV15" s="113">
        <v>2.5827831053273947E-2</v>
      </c>
      <c r="AW15" s="213">
        <v>233.97022090060111</v>
      </c>
      <c r="AX15" s="113"/>
      <c r="AY15" s="113"/>
      <c r="AZ15" s="113"/>
      <c r="BA15" s="113"/>
      <c r="BC15" s="113"/>
      <c r="BD15" s="113"/>
      <c r="BE15" s="113"/>
      <c r="BF15" s="113"/>
      <c r="BH15" s="113"/>
      <c r="BI15" s="113"/>
      <c r="BJ15" s="113"/>
      <c r="BK15" s="113"/>
      <c r="BM15" s="113"/>
      <c r="BN15" s="113"/>
      <c r="BO15" s="113"/>
      <c r="BP15" s="113"/>
      <c r="BR15" s="113"/>
      <c r="BS15" s="113"/>
      <c r="BT15" s="113"/>
      <c r="BU15" s="113"/>
      <c r="BW15" s="113"/>
      <c r="BX15" s="113"/>
      <c r="BY15" s="113"/>
      <c r="BZ15" s="113"/>
      <c r="CB15" s="113"/>
      <c r="CC15" s="113"/>
      <c r="CD15" s="113"/>
      <c r="CE15" s="113"/>
      <c r="CG15" s="113"/>
      <c r="CH15" s="113"/>
      <c r="CI15" s="113"/>
      <c r="CJ15" s="113"/>
    </row>
    <row r="16" spans="2:234" x14ac:dyDescent="0.2">
      <c r="AH16" s="60"/>
      <c r="AI16" s="60"/>
      <c r="AJ16" s="156"/>
      <c r="AL16" s="112">
        <v>6384.21</v>
      </c>
      <c r="AM16" s="113">
        <v>9.6666000000000007</v>
      </c>
      <c r="AN16" s="113">
        <v>1.0898300000000001</v>
      </c>
      <c r="AO16" s="113">
        <v>3.6971974755566047E-3</v>
      </c>
      <c r="AP16" s="113">
        <v>13.63335973271613</v>
      </c>
      <c r="AQ16" s="113">
        <v>2.8720782605979555E-2</v>
      </c>
      <c r="AR16" s="210">
        <v>270.47513869933397</v>
      </c>
      <c r="AS16" s="113">
        <v>1.0918000000000001</v>
      </c>
      <c r="AT16" s="113">
        <v>3.7455614721172256E-3</v>
      </c>
      <c r="AU16" s="113">
        <v>13.457321035145354</v>
      </c>
      <c r="AV16" s="113">
        <v>2.8565463942448112E-2</v>
      </c>
      <c r="AW16" s="213">
        <v>266.98266933922122</v>
      </c>
      <c r="AX16" s="113"/>
      <c r="AY16" s="113"/>
      <c r="AZ16" s="113"/>
      <c r="BA16" s="113"/>
      <c r="BC16" s="113"/>
      <c r="BD16" s="113"/>
      <c r="BE16" s="113"/>
      <c r="BF16" s="113"/>
      <c r="BH16" s="113"/>
      <c r="BI16" s="113"/>
      <c r="BJ16" s="113"/>
      <c r="BK16" s="113"/>
      <c r="BM16" s="113"/>
      <c r="BN16" s="113"/>
      <c r="BO16" s="113"/>
      <c r="BP16" s="113"/>
      <c r="BR16" s="113"/>
      <c r="BS16" s="113"/>
      <c r="BT16" s="113"/>
      <c r="BU16" s="113"/>
      <c r="BW16" s="113"/>
      <c r="BX16" s="113"/>
      <c r="BY16" s="113"/>
      <c r="BZ16" s="113"/>
      <c r="CB16" s="113"/>
      <c r="CC16" s="113"/>
      <c r="CD16" s="113"/>
      <c r="CE16" s="113"/>
      <c r="CG16" s="113"/>
      <c r="CH16" s="113"/>
      <c r="CI16" s="113"/>
      <c r="CJ16" s="113"/>
    </row>
    <row r="17" spans="34:88" x14ac:dyDescent="0.2">
      <c r="AH17" s="60"/>
      <c r="AI17" s="60"/>
      <c r="AJ17" s="156"/>
      <c r="AL17" s="112">
        <v>7431.58</v>
      </c>
      <c r="AM17" s="113">
        <v>11.2525</v>
      </c>
      <c r="AN17" s="113">
        <v>1.1456299999999999</v>
      </c>
      <c r="AO17" s="113">
        <v>3.3387528654250948E-3</v>
      </c>
      <c r="AP17" s="113">
        <v>15.09702131868795</v>
      </c>
      <c r="AQ17" s="113">
        <v>3.152790014299163E-2</v>
      </c>
      <c r="AR17" s="210">
        <v>299.51303385034419</v>
      </c>
      <c r="AS17" s="113">
        <v>1.14666</v>
      </c>
      <c r="AT17" s="113">
        <v>3.3793603861446107E-3</v>
      </c>
      <c r="AU17" s="113">
        <v>14.915610478780161</v>
      </c>
      <c r="AV17" s="113">
        <v>3.1318646732542102E-2</v>
      </c>
      <c r="AW17" s="213">
        <v>295.91398540978446</v>
      </c>
      <c r="AX17" s="113"/>
      <c r="AY17" s="113"/>
      <c r="AZ17" s="113"/>
      <c r="BA17" s="113"/>
      <c r="BC17" s="113"/>
      <c r="BD17" s="113"/>
      <c r="BE17" s="113"/>
      <c r="BF17" s="113"/>
      <c r="BH17" s="113"/>
      <c r="BI17" s="113"/>
      <c r="BJ17" s="113"/>
      <c r="BK17" s="113"/>
      <c r="BM17" s="113"/>
      <c r="BN17" s="113"/>
      <c r="BO17" s="113"/>
      <c r="BP17" s="113"/>
      <c r="BR17" s="113"/>
      <c r="BS17" s="113"/>
      <c r="BT17" s="113"/>
      <c r="BU17" s="113"/>
      <c r="BW17" s="113"/>
      <c r="BX17" s="113"/>
      <c r="BY17" s="113"/>
      <c r="BZ17" s="113"/>
      <c r="CB17" s="113"/>
      <c r="CC17" s="113"/>
      <c r="CD17" s="113"/>
      <c r="CE17" s="113"/>
      <c r="CG17" s="113"/>
      <c r="CH17" s="113"/>
      <c r="CI17" s="113"/>
      <c r="CJ17" s="113"/>
    </row>
    <row r="18" spans="34:88" x14ac:dyDescent="0.2">
      <c r="AH18" s="60"/>
      <c r="AI18" s="60"/>
      <c r="AJ18" s="156"/>
      <c r="AL18" s="112">
        <v>8478.9500000000007</v>
      </c>
      <c r="AM18" s="113">
        <v>12.8383</v>
      </c>
      <c r="AN18" s="113">
        <v>1.2043600000000001</v>
      </c>
      <c r="AO18" s="113">
        <v>3.0763468682958391E-3</v>
      </c>
      <c r="AP18" s="113">
        <v>16.384765874946805</v>
      </c>
      <c r="AQ18" s="113">
        <v>3.4315366013228377E-2</v>
      </c>
      <c r="AR18" s="210">
        <v>325.06087343588666</v>
      </c>
      <c r="AS18" s="113">
        <v>1.20445</v>
      </c>
      <c r="AT18" s="113">
        <v>3.1111983867714451E-3</v>
      </c>
      <c r="AU18" s="113">
        <v>16.201224390405933</v>
      </c>
      <c r="AV18" s="113">
        <v>3.4056796926828732E-2</v>
      </c>
      <c r="AW18" s="213">
        <v>321.41955468089606</v>
      </c>
      <c r="AX18" s="113"/>
      <c r="AY18" s="113"/>
      <c r="AZ18" s="113"/>
      <c r="BA18" s="113"/>
      <c r="BC18" s="113"/>
      <c r="BD18" s="113"/>
      <c r="BE18" s="113"/>
      <c r="BF18" s="113"/>
      <c r="BH18" s="113"/>
      <c r="BI18" s="113"/>
      <c r="BJ18" s="113"/>
      <c r="BK18" s="113"/>
      <c r="BM18" s="113"/>
      <c r="BN18" s="113"/>
      <c r="BO18" s="113"/>
      <c r="BP18" s="113"/>
      <c r="BR18" s="113"/>
      <c r="BS18" s="113"/>
      <c r="BT18" s="113"/>
      <c r="BU18" s="113"/>
      <c r="BW18" s="113"/>
      <c r="BX18" s="113"/>
      <c r="BY18" s="113"/>
      <c r="BZ18" s="113"/>
      <c r="CB18" s="113"/>
      <c r="CC18" s="113"/>
      <c r="CD18" s="113"/>
      <c r="CE18" s="113"/>
      <c r="CG18" s="113"/>
      <c r="CH18" s="113"/>
      <c r="CI18" s="113"/>
      <c r="CJ18" s="113"/>
    </row>
    <row r="19" spans="34:88" x14ac:dyDescent="0.2">
      <c r="AH19" s="60"/>
      <c r="AI19" s="60"/>
      <c r="AJ19" s="156"/>
      <c r="AL19" s="112">
        <v>9526.32</v>
      </c>
      <c r="AM19" s="113">
        <v>14.424200000000001</v>
      </c>
      <c r="AN19" s="113">
        <v>1.26501</v>
      </c>
      <c r="AO19" s="113">
        <v>2.8760063862158548E-3</v>
      </c>
      <c r="AP19" s="113">
        <v>17.526116572179973</v>
      </c>
      <c r="AQ19" s="113">
        <v>3.7064756914923239E-2</v>
      </c>
      <c r="AR19" s="210">
        <v>347.7043739516044</v>
      </c>
      <c r="AS19" s="113">
        <v>1.2641800000000001</v>
      </c>
      <c r="AT19" s="113">
        <v>2.9064626921439965E-3</v>
      </c>
      <c r="AU19" s="113">
        <v>17.342463511881842</v>
      </c>
      <c r="AV19" s="113">
        <v>3.6761022907386781E-2</v>
      </c>
      <c r="AW19" s="213">
        <v>344.06084162130935</v>
      </c>
      <c r="AX19" s="113"/>
      <c r="AY19" s="113"/>
      <c r="AZ19" s="113"/>
      <c r="BA19" s="113"/>
      <c r="BC19" s="113"/>
      <c r="BD19" s="113"/>
      <c r="BE19" s="113"/>
      <c r="BF19" s="113"/>
      <c r="BH19" s="113"/>
      <c r="BI19" s="113"/>
      <c r="BJ19" s="113"/>
      <c r="BK19" s="113"/>
      <c r="BM19" s="113"/>
      <c r="BN19" s="113"/>
      <c r="BO19" s="113"/>
      <c r="BP19" s="113"/>
      <c r="BR19" s="113"/>
      <c r="BS19" s="113"/>
      <c r="BT19" s="113"/>
      <c r="BU19" s="113"/>
      <c r="BW19" s="113"/>
      <c r="BX19" s="113"/>
      <c r="BY19" s="113"/>
      <c r="BZ19" s="113"/>
      <c r="CB19" s="113"/>
      <c r="CC19" s="113"/>
      <c r="CD19" s="113"/>
      <c r="CE19" s="113"/>
      <c r="CG19" s="113"/>
      <c r="CH19" s="113"/>
      <c r="CI19" s="113"/>
      <c r="CJ19" s="113"/>
    </row>
    <row r="20" spans="34:88" x14ac:dyDescent="0.2">
      <c r="AL20" s="112">
        <v>10573.68</v>
      </c>
      <c r="AM20" s="113">
        <v>16.010100000000001</v>
      </c>
      <c r="AN20" s="113">
        <v>1.3269299999999999</v>
      </c>
      <c r="AO20" s="113">
        <v>2.7179590139463877E-3</v>
      </c>
      <c r="AP20" s="113">
        <v>18.545247712902924</v>
      </c>
      <c r="AQ20" s="113">
        <v>3.9765277958560358E-2</v>
      </c>
      <c r="AR20" s="210">
        <v>367.92313455383299</v>
      </c>
      <c r="AS20" s="113">
        <v>1.3251900000000001</v>
      </c>
      <c r="AT20" s="113">
        <v>2.7449408499630222E-3</v>
      </c>
      <c r="AU20" s="113">
        <v>18.362954228260385</v>
      </c>
      <c r="AV20" s="113">
        <v>3.9420646568734695E-2</v>
      </c>
      <c r="AW20" s="213">
        <v>364.30657513566138</v>
      </c>
      <c r="AX20" s="113"/>
      <c r="AY20" s="113"/>
      <c r="AZ20" s="113"/>
      <c r="BA20" s="113"/>
      <c r="BC20" s="113"/>
      <c r="BD20" s="113"/>
      <c r="BE20" s="113"/>
      <c r="BF20" s="113"/>
      <c r="BH20" s="113"/>
      <c r="BI20" s="113"/>
      <c r="BJ20" s="113"/>
      <c r="BK20" s="113"/>
      <c r="BM20" s="113"/>
      <c r="BN20" s="113"/>
      <c r="BO20" s="113"/>
      <c r="BP20" s="113"/>
      <c r="BR20" s="113"/>
      <c r="BS20" s="113"/>
      <c r="BT20" s="113"/>
      <c r="BU20" s="113"/>
      <c r="BW20" s="113"/>
      <c r="BX20" s="113"/>
      <c r="BY20" s="113"/>
      <c r="BZ20" s="113"/>
      <c r="CB20" s="113"/>
      <c r="CC20" s="113"/>
      <c r="CD20" s="113"/>
      <c r="CE20" s="113"/>
      <c r="CG20" s="113"/>
      <c r="CH20" s="113"/>
      <c r="CI20" s="113"/>
      <c r="CJ20" s="113"/>
    </row>
    <row r="21" spans="34:88" x14ac:dyDescent="0.2">
      <c r="AL21" s="112">
        <v>11621.05</v>
      </c>
      <c r="AM21" s="113">
        <v>17.5959</v>
      </c>
      <c r="AN21" s="113">
        <v>1.3896999999999999</v>
      </c>
      <c r="AO21" s="113">
        <v>2.5899819715644976E-3</v>
      </c>
      <c r="AP21" s="113">
        <v>19.461611602147752</v>
      </c>
      <c r="AQ21" s="113">
        <v>4.2410672849552432E-2</v>
      </c>
      <c r="AR21" s="210">
        <v>386.10307368122051</v>
      </c>
      <c r="AS21" s="113">
        <v>1.38706</v>
      </c>
      <c r="AT21" s="113">
        <v>2.6141522718904032E-3</v>
      </c>
      <c r="AU21" s="113">
        <v>19.281670669743733</v>
      </c>
      <c r="AV21" s="113">
        <v>4.202914394493467E-2</v>
      </c>
      <c r="AW21" s="213">
        <v>382.53318704991045</v>
      </c>
      <c r="AX21" s="113"/>
      <c r="AY21" s="113"/>
      <c r="AZ21" s="113"/>
      <c r="BA21" s="113"/>
      <c r="BC21" s="113"/>
      <c r="BD21" s="113"/>
      <c r="BE21" s="113"/>
      <c r="BF21" s="113"/>
      <c r="BH21" s="113"/>
      <c r="BI21" s="113"/>
      <c r="BJ21" s="113"/>
      <c r="BK21" s="113"/>
      <c r="BM21" s="113"/>
      <c r="BN21" s="113"/>
      <c r="BO21" s="113"/>
      <c r="BP21" s="113"/>
      <c r="BR21" s="113"/>
      <c r="BS21" s="113"/>
      <c r="BT21" s="113"/>
      <c r="BU21" s="113"/>
      <c r="BW21" s="113"/>
      <c r="BX21" s="113"/>
      <c r="BY21" s="113"/>
      <c r="BZ21" s="113"/>
      <c r="CB21" s="113"/>
      <c r="CC21" s="113"/>
      <c r="CD21" s="113"/>
      <c r="CE21" s="113"/>
      <c r="CG21" s="113"/>
      <c r="CH21" s="113"/>
      <c r="CI21" s="113"/>
      <c r="CJ21" s="113"/>
    </row>
    <row r="22" spans="34:88" x14ac:dyDescent="0.2">
      <c r="AL22" s="112">
        <v>12668.42</v>
      </c>
      <c r="AM22" s="113">
        <v>19.181799999999999</v>
      </c>
      <c r="AN22" s="113">
        <v>1.4530099999999999</v>
      </c>
      <c r="AO22" s="113">
        <v>2.4840892950762231E-3</v>
      </c>
      <c r="AP22" s="113">
        <v>20.291228373739472</v>
      </c>
      <c r="AQ22" s="113">
        <v>4.4998757270056866E-2</v>
      </c>
      <c r="AR22" s="210">
        <v>402.56201819400195</v>
      </c>
      <c r="AS22" s="113">
        <v>1.4495</v>
      </c>
      <c r="AT22" s="113">
        <v>2.5059752054637889E-3</v>
      </c>
      <c r="AU22" s="113">
        <v>20.114015125630292</v>
      </c>
      <c r="AV22" s="113">
        <v>4.4583095477300543E-2</v>
      </c>
      <c r="AW22" s="213">
        <v>399.0462466746261</v>
      </c>
      <c r="AX22" s="113"/>
      <c r="AY22" s="113"/>
      <c r="AZ22" s="113"/>
      <c r="BA22" s="113"/>
      <c r="BC22" s="113"/>
      <c r="BD22" s="113"/>
      <c r="BE22" s="113"/>
      <c r="BF22" s="113"/>
      <c r="BH22" s="113"/>
      <c r="BI22" s="113"/>
      <c r="BJ22" s="113"/>
      <c r="BK22" s="113"/>
      <c r="BM22" s="113"/>
      <c r="BN22" s="113"/>
      <c r="BO22" s="113"/>
      <c r="BP22" s="113"/>
      <c r="BR22" s="113"/>
      <c r="BS22" s="113"/>
      <c r="BT22" s="113"/>
      <c r="BU22" s="113"/>
      <c r="BW22" s="113"/>
      <c r="BX22" s="113"/>
      <c r="BY22" s="113"/>
      <c r="BZ22" s="113"/>
      <c r="CB22" s="113"/>
      <c r="CC22" s="113"/>
      <c r="CD22" s="113"/>
      <c r="CE22" s="113"/>
      <c r="CG22" s="113"/>
      <c r="CH22" s="113"/>
      <c r="CI22" s="113"/>
      <c r="CJ22" s="113"/>
    </row>
    <row r="23" spans="34:88" x14ac:dyDescent="0.2">
      <c r="AL23" s="112">
        <v>13715.79</v>
      </c>
      <c r="AM23" s="113">
        <v>20.767700000000001</v>
      </c>
      <c r="AN23" s="113">
        <v>1.5166999999999999</v>
      </c>
      <c r="AO23" s="113">
        <v>2.3949690915105581E-3</v>
      </c>
      <c r="AP23" s="113">
        <v>21.046293818915835</v>
      </c>
      <c r="AQ23" s="113">
        <v>4.7526664266167314E-2</v>
      </c>
      <c r="AR23" s="210">
        <v>417.54192300213725</v>
      </c>
      <c r="AS23" s="113">
        <v>1.51233</v>
      </c>
      <c r="AT23" s="113">
        <v>2.4149422155809691E-3</v>
      </c>
      <c r="AU23" s="113">
        <v>20.872227443763915</v>
      </c>
      <c r="AV23" s="113">
        <v>4.7080092896629899E-2</v>
      </c>
      <c r="AW23" s="213">
        <v>414.08858296819636</v>
      </c>
      <c r="AX23" s="113"/>
      <c r="AY23" s="113"/>
      <c r="AZ23" s="113"/>
      <c r="BA23" s="113"/>
      <c r="BC23" s="113"/>
      <c r="BD23" s="113"/>
      <c r="BE23" s="113"/>
      <c r="BF23" s="113"/>
      <c r="BH23" s="113"/>
      <c r="BI23" s="113"/>
      <c r="BJ23" s="113"/>
      <c r="BK23" s="113"/>
      <c r="BM23" s="113"/>
      <c r="BN23" s="113"/>
      <c r="BO23" s="113"/>
      <c r="BP23" s="113"/>
      <c r="BR23" s="113"/>
      <c r="BS23" s="113"/>
      <c r="BT23" s="113"/>
      <c r="BU23" s="113"/>
      <c r="BW23" s="113"/>
      <c r="BX23" s="113"/>
      <c r="BY23" s="113"/>
      <c r="BZ23" s="113"/>
      <c r="CB23" s="113"/>
      <c r="CC23" s="113"/>
      <c r="CD23" s="113"/>
      <c r="CE23" s="113"/>
      <c r="CG23" s="113"/>
      <c r="CH23" s="113"/>
      <c r="CI23" s="113"/>
      <c r="CJ23" s="113"/>
    </row>
    <row r="24" spans="34:88" x14ac:dyDescent="0.2">
      <c r="AL24" s="112">
        <v>14763.16</v>
      </c>
      <c r="AM24" s="113">
        <v>22.3535</v>
      </c>
      <c r="AN24" s="113">
        <v>1.5806100000000001</v>
      </c>
      <c r="AO24" s="113">
        <v>2.3188168734495215E-3</v>
      </c>
      <c r="AP24" s="113">
        <v>21.737474728726312</v>
      </c>
      <c r="AQ24" s="113">
        <v>4.9995331967630528E-2</v>
      </c>
      <c r="AR24" s="210">
        <v>431.25440885393363</v>
      </c>
      <c r="AS24" s="113">
        <v>1.5753999999999999</v>
      </c>
      <c r="AT24" s="113">
        <v>2.3371819187857973E-3</v>
      </c>
      <c r="AU24" s="113">
        <v>21.566666583378087</v>
      </c>
      <c r="AV24" s="113">
        <v>4.9520223494799454E-2</v>
      </c>
      <c r="AW24" s="213">
        <v>427.8657095377136</v>
      </c>
      <c r="AX24" s="113"/>
      <c r="AY24" s="113"/>
      <c r="AZ24" s="113"/>
      <c r="BA24" s="113"/>
      <c r="BC24" s="113"/>
      <c r="BD24" s="113"/>
      <c r="BE24" s="113"/>
      <c r="BF24" s="113"/>
      <c r="BH24" s="113"/>
      <c r="BI24" s="113"/>
      <c r="BJ24" s="113"/>
      <c r="BK24" s="113"/>
      <c r="BM24" s="113"/>
      <c r="BN24" s="113"/>
      <c r="BO24" s="113"/>
      <c r="BP24" s="113"/>
      <c r="BR24" s="113"/>
      <c r="BS24" s="113"/>
      <c r="BT24" s="113"/>
      <c r="BU24" s="113"/>
      <c r="BW24" s="113"/>
      <c r="BX24" s="113"/>
      <c r="BY24" s="113"/>
      <c r="BZ24" s="113"/>
      <c r="CB24" s="113"/>
      <c r="CC24" s="113"/>
      <c r="CD24" s="113"/>
      <c r="CE24" s="113"/>
      <c r="CG24" s="113"/>
      <c r="CH24" s="113"/>
      <c r="CI24" s="113"/>
      <c r="CJ24" s="113"/>
    </row>
    <row r="25" spans="34:88" x14ac:dyDescent="0.2">
      <c r="AL25" s="112">
        <v>15810.53</v>
      </c>
      <c r="AM25" s="113">
        <v>23.939399999999999</v>
      </c>
      <c r="AN25" s="113">
        <v>1.64466</v>
      </c>
      <c r="AO25" s="113">
        <v>2.2529458563437421E-3</v>
      </c>
      <c r="AP25" s="113">
        <v>22.373029092210277</v>
      </c>
      <c r="AQ25" s="113">
        <v>5.2404596455351768E-2</v>
      </c>
      <c r="AR25" s="210">
        <v>443.86330775959203</v>
      </c>
      <c r="AS25" s="113">
        <v>1.63862</v>
      </c>
      <c r="AT25" s="113">
        <v>2.2699318884487484E-3</v>
      </c>
      <c r="AU25" s="113">
        <v>22.205610416618988</v>
      </c>
      <c r="AV25" s="113">
        <v>5.1903471730328457E-2</v>
      </c>
      <c r="AW25" s="213">
        <v>440.54185285858568</v>
      </c>
      <c r="AX25" s="113"/>
      <c r="AY25" s="113"/>
      <c r="AZ25" s="113"/>
      <c r="BA25" s="113"/>
      <c r="BC25" s="113"/>
      <c r="BD25" s="113"/>
      <c r="BE25" s="113"/>
      <c r="BF25" s="113"/>
      <c r="BH25" s="113"/>
      <c r="BI25" s="113"/>
      <c r="BJ25" s="113"/>
      <c r="BK25" s="113"/>
      <c r="BM25" s="113"/>
      <c r="BN25" s="113"/>
      <c r="BO25" s="113"/>
      <c r="BP25" s="113"/>
      <c r="BR25" s="113"/>
      <c r="BS25" s="113"/>
      <c r="BT25" s="113"/>
      <c r="BU25" s="113"/>
      <c r="BW25" s="113"/>
      <c r="BX25" s="113"/>
      <c r="BY25" s="113"/>
      <c r="BZ25" s="113"/>
      <c r="CB25" s="113"/>
      <c r="CC25" s="113"/>
      <c r="CD25" s="113"/>
      <c r="CE25" s="113"/>
      <c r="CG25" s="113"/>
      <c r="CH25" s="113"/>
      <c r="CI25" s="113"/>
      <c r="CJ25" s="113"/>
    </row>
    <row r="26" spans="34:88" x14ac:dyDescent="0.2">
      <c r="AL26" s="112">
        <v>16857.89</v>
      </c>
      <c r="AM26" s="113">
        <v>25.525200000000002</v>
      </c>
      <c r="AN26" s="113">
        <v>1.70878</v>
      </c>
      <c r="AO26" s="113">
        <v>2.1953511178564333E-3</v>
      </c>
      <c r="AP26" s="113">
        <v>22.959982472584795</v>
      </c>
      <c r="AQ26" s="113">
        <v>5.4755543796994169E-2</v>
      </c>
      <c r="AR26" s="210">
        <v>455.50800136991836</v>
      </c>
      <c r="AS26" s="113">
        <v>1.7019200000000001</v>
      </c>
      <c r="AT26" s="113">
        <v>2.2111435045090665E-3</v>
      </c>
      <c r="AU26" s="113">
        <v>22.795998126925937</v>
      </c>
      <c r="AV26" s="113">
        <v>5.4230632645973033E-2</v>
      </c>
      <c r="AW26" s="213">
        <v>452.25468087473905</v>
      </c>
      <c r="AX26" s="113"/>
      <c r="AY26" s="113"/>
      <c r="AZ26" s="113"/>
      <c r="BA26" s="113"/>
      <c r="BC26" s="113"/>
      <c r="BD26" s="113"/>
      <c r="BE26" s="113"/>
      <c r="BF26" s="113"/>
      <c r="BH26" s="113"/>
      <c r="BI26" s="113"/>
      <c r="BJ26" s="113"/>
      <c r="BK26" s="113"/>
      <c r="BM26" s="113"/>
      <c r="BN26" s="113"/>
      <c r="BO26" s="113"/>
      <c r="BP26" s="113"/>
      <c r="BR26" s="113"/>
      <c r="BS26" s="113"/>
      <c r="BT26" s="113"/>
      <c r="BU26" s="113"/>
      <c r="BW26" s="113"/>
      <c r="BX26" s="113"/>
      <c r="BY26" s="113"/>
      <c r="BZ26" s="113"/>
      <c r="CB26" s="113"/>
      <c r="CC26" s="113"/>
      <c r="CD26" s="113"/>
      <c r="CE26" s="113"/>
      <c r="CG26" s="113"/>
      <c r="CH26" s="113"/>
      <c r="CI26" s="113"/>
      <c r="CJ26" s="113"/>
    </row>
    <row r="27" spans="34:88" x14ac:dyDescent="0.2">
      <c r="AL27" s="112">
        <v>17905.259999999998</v>
      </c>
      <c r="AM27" s="113">
        <v>27.1111</v>
      </c>
      <c r="AN27" s="113">
        <v>1.7729200000000001</v>
      </c>
      <c r="AO27" s="113">
        <v>2.1445173331747212E-3</v>
      </c>
      <c r="AP27" s="113">
        <v>23.504227458275555</v>
      </c>
      <c r="AQ27" s="113">
        <v>5.7049710372386812E-2</v>
      </c>
      <c r="AR27" s="210">
        <v>466.30539400659001</v>
      </c>
      <c r="AS27" s="113">
        <v>1.7652600000000001</v>
      </c>
      <c r="AT27" s="113">
        <v>2.1592804461141894E-3</v>
      </c>
      <c r="AU27" s="113">
        <v>23.34352783023699</v>
      </c>
      <c r="AV27" s="113">
        <v>5.650240789671216E-2</v>
      </c>
      <c r="AW27" s="213">
        <v>463.11723972658848</v>
      </c>
      <c r="AX27" s="113"/>
      <c r="AY27" s="113"/>
      <c r="AZ27" s="113"/>
      <c r="BA27" s="113"/>
      <c r="BC27" s="113"/>
      <c r="BD27" s="113"/>
      <c r="BE27" s="113"/>
      <c r="BF27" s="113"/>
      <c r="BH27" s="113"/>
      <c r="BI27" s="113"/>
      <c r="BJ27" s="113"/>
      <c r="BK27" s="113"/>
      <c r="BM27" s="113"/>
      <c r="BN27" s="113"/>
      <c r="BO27" s="113"/>
      <c r="BP27" s="113"/>
      <c r="BR27" s="113"/>
      <c r="BS27" s="113"/>
      <c r="BT27" s="113"/>
      <c r="BU27" s="113"/>
      <c r="BW27" s="113"/>
      <c r="BX27" s="113"/>
      <c r="BY27" s="113"/>
      <c r="BZ27" s="113"/>
      <c r="CB27" s="113"/>
      <c r="CC27" s="113"/>
      <c r="CD27" s="113"/>
      <c r="CE27" s="113"/>
      <c r="CG27" s="113"/>
      <c r="CH27" s="113"/>
      <c r="CI27" s="113"/>
      <c r="CJ27" s="113"/>
    </row>
    <row r="28" spans="34:88" x14ac:dyDescent="0.2">
      <c r="AK28" s="102"/>
      <c r="AL28" s="112">
        <v>18952.63</v>
      </c>
      <c r="AM28" s="113">
        <v>28.696999999999999</v>
      </c>
      <c r="AN28" s="113">
        <v>1.8370599999999999</v>
      </c>
      <c r="AO28" s="113">
        <v>2.0993019540717678E-3</v>
      </c>
      <c r="AP28" s="113">
        <v>24.010468379447794</v>
      </c>
      <c r="AQ28" s="113">
        <v>5.928769457167643E-2</v>
      </c>
      <c r="AR28" s="210">
        <v>476.34881588159254</v>
      </c>
      <c r="AS28" s="113">
        <v>1.8286</v>
      </c>
      <c r="AT28" s="113">
        <v>2.1131495538061341E-3</v>
      </c>
      <c r="AU28" s="113">
        <v>23.853126294996461</v>
      </c>
      <c r="AV28" s="113">
        <v>5.8720272685743688E-2</v>
      </c>
      <c r="AW28" s="213">
        <v>473.2272726266977</v>
      </c>
      <c r="AX28" s="113"/>
      <c r="AY28" s="113"/>
      <c r="AZ28" s="113"/>
      <c r="BA28" s="113"/>
      <c r="BC28" s="113"/>
      <c r="BD28" s="113"/>
      <c r="BE28" s="113"/>
      <c r="BF28" s="113"/>
      <c r="BH28" s="113"/>
      <c r="BI28" s="113"/>
      <c r="BJ28" s="113"/>
      <c r="BK28" s="113"/>
      <c r="BM28" s="113"/>
      <c r="BN28" s="113"/>
      <c r="BO28" s="113"/>
      <c r="BP28" s="113"/>
      <c r="BR28" s="113"/>
      <c r="BS28" s="113"/>
      <c r="BT28" s="113"/>
      <c r="BU28" s="113"/>
      <c r="BW28" s="113"/>
      <c r="BX28" s="113"/>
      <c r="BY28" s="113"/>
      <c r="BZ28" s="113"/>
      <c r="CB28" s="113"/>
      <c r="CC28" s="113"/>
      <c r="CD28" s="113"/>
      <c r="CE28" s="113"/>
      <c r="CG28" s="113"/>
      <c r="CH28" s="113"/>
      <c r="CI28" s="113"/>
      <c r="CJ28" s="113"/>
    </row>
    <row r="29" spans="34:88" x14ac:dyDescent="0.2">
      <c r="AL29" s="112">
        <v>20000</v>
      </c>
      <c r="AM29" s="113">
        <v>30.282800000000002</v>
      </c>
      <c r="AN29" s="113">
        <v>1.90117</v>
      </c>
      <c r="AO29" s="113">
        <v>2.0587898109276576E-3</v>
      </c>
      <c r="AP29" s="113">
        <v>24.482937947143501</v>
      </c>
      <c r="AQ29" s="113">
        <v>6.1471355132495104E-2</v>
      </c>
      <c r="AR29" s="210">
        <v>485.7222406542881</v>
      </c>
      <c r="AS29" s="113">
        <v>1.89192</v>
      </c>
      <c r="AT29" s="113">
        <v>2.071828370905512E-3</v>
      </c>
      <c r="AU29" s="113">
        <v>24.328860389687136</v>
      </c>
      <c r="AV29" s="113">
        <v>6.0885313898507105E-2</v>
      </c>
      <c r="AW29" s="213">
        <v>482.66546304843803</v>
      </c>
      <c r="AX29" s="113"/>
      <c r="AY29" s="113"/>
      <c r="AZ29" s="113"/>
      <c r="BA29" s="113"/>
      <c r="BC29" s="113"/>
      <c r="BD29" s="113"/>
      <c r="BE29" s="113"/>
      <c r="BF29" s="113"/>
      <c r="BH29" s="113"/>
      <c r="BI29" s="113"/>
      <c r="BJ29" s="113"/>
      <c r="BK29" s="113"/>
      <c r="BM29" s="113"/>
      <c r="BN29" s="113"/>
      <c r="BO29" s="113"/>
      <c r="BP29" s="113"/>
      <c r="BR29" s="113"/>
      <c r="BS29" s="113"/>
      <c r="BT29" s="113"/>
      <c r="BU29" s="113"/>
      <c r="BW29" s="113"/>
      <c r="BX29" s="113"/>
      <c r="BY29" s="113"/>
      <c r="BZ29" s="113"/>
      <c r="CB29" s="113"/>
      <c r="CC29" s="113"/>
      <c r="CD29" s="113"/>
      <c r="CE29" s="113"/>
      <c r="CG29" s="113"/>
      <c r="CH29" s="113"/>
      <c r="CI29" s="113"/>
      <c r="CJ29" s="113"/>
    </row>
    <row r="30" spans="34:88" x14ac:dyDescent="0.2">
      <c r="AL30" s="112"/>
      <c r="AM30" s="113"/>
      <c r="AN30" s="113"/>
      <c r="AO30" s="113"/>
      <c r="AP30" s="113"/>
      <c r="AQ30" s="113"/>
      <c r="AR30" s="213"/>
      <c r="AS30" s="113"/>
      <c r="AT30" s="113"/>
      <c r="AU30" s="113"/>
      <c r="AV30" s="113"/>
      <c r="AW30" s="213"/>
      <c r="AX30" s="113"/>
      <c r="AY30" s="113"/>
      <c r="AZ30" s="113"/>
      <c r="BA30" s="113"/>
      <c r="BC30" s="113"/>
      <c r="BD30" s="113"/>
      <c r="BE30" s="113"/>
      <c r="BF30" s="113"/>
      <c r="BH30" s="113"/>
      <c r="BI30" s="113"/>
      <c r="BJ30" s="113"/>
      <c r="BK30" s="113"/>
      <c r="BM30" s="113"/>
      <c r="BN30" s="113"/>
      <c r="BO30" s="113"/>
      <c r="BP30" s="113"/>
      <c r="BR30" s="113"/>
      <c r="BS30" s="113"/>
      <c r="BT30" s="113"/>
      <c r="BU30" s="113"/>
      <c r="BW30" s="113"/>
      <c r="BX30" s="113"/>
      <c r="BY30" s="113"/>
      <c r="BZ30" s="113"/>
      <c r="CB30" s="113"/>
      <c r="CC30" s="113"/>
      <c r="CD30" s="113"/>
      <c r="CE30" s="113"/>
      <c r="CG30" s="113"/>
      <c r="CH30" s="113"/>
      <c r="CI30" s="113"/>
      <c r="CJ30" s="113"/>
    </row>
    <row r="31" spans="34:88" x14ac:dyDescent="0.2">
      <c r="AL31" s="112"/>
      <c r="AM31" s="113"/>
      <c r="AN31" s="113"/>
      <c r="AO31" s="113"/>
      <c r="AP31" s="113"/>
      <c r="AQ31" s="113"/>
      <c r="AS31" s="113"/>
      <c r="AT31" s="113"/>
      <c r="AU31" s="113"/>
      <c r="AV31" s="113"/>
      <c r="AX31" s="113"/>
      <c r="AY31" s="113"/>
      <c r="AZ31" s="113"/>
      <c r="BA31" s="113"/>
      <c r="BC31" s="113"/>
      <c r="BD31" s="113"/>
      <c r="BE31" s="113"/>
      <c r="BF31" s="113"/>
      <c r="BH31" s="113"/>
      <c r="BI31" s="113"/>
      <c r="BJ31" s="113"/>
      <c r="BK31" s="113"/>
      <c r="BM31" s="113"/>
      <c r="BN31" s="113"/>
      <c r="BO31" s="113"/>
      <c r="BP31" s="113"/>
      <c r="BR31" s="113"/>
      <c r="BS31" s="113"/>
      <c r="BT31" s="113"/>
      <c r="BU31" s="113"/>
      <c r="BW31" s="113"/>
      <c r="BX31" s="113"/>
      <c r="BY31" s="113"/>
      <c r="BZ31" s="113"/>
      <c r="CB31" s="113"/>
      <c r="CC31" s="113"/>
      <c r="CD31" s="113"/>
      <c r="CE31" s="113"/>
      <c r="CG31" s="113"/>
      <c r="CH31" s="113"/>
      <c r="CI31" s="113"/>
      <c r="CJ31" s="113"/>
    </row>
    <row r="32" spans="34:88" x14ac:dyDescent="0.2">
      <c r="AL32" s="112"/>
      <c r="AM32" s="113"/>
      <c r="AN32" s="113"/>
      <c r="AO32" s="113"/>
      <c r="AP32" s="113"/>
      <c r="AQ32" s="113"/>
      <c r="AS32" s="113"/>
      <c r="AT32" s="113"/>
      <c r="AU32" s="113"/>
      <c r="AV32" s="113"/>
      <c r="AX32" s="113"/>
      <c r="AY32" s="113"/>
      <c r="AZ32" s="113"/>
      <c r="BA32" s="113"/>
      <c r="BC32" s="113"/>
      <c r="BD32" s="113"/>
      <c r="BE32" s="113"/>
      <c r="BF32" s="113"/>
      <c r="BH32" s="113"/>
      <c r="BI32" s="113"/>
      <c r="BJ32" s="113"/>
      <c r="BK32" s="113"/>
      <c r="BM32" s="113"/>
      <c r="BN32" s="113"/>
      <c r="BO32" s="113"/>
      <c r="BP32" s="113"/>
      <c r="BR32" s="113"/>
      <c r="BS32" s="113"/>
      <c r="BT32" s="113"/>
      <c r="BU32" s="113"/>
      <c r="BW32" s="113"/>
      <c r="BX32" s="113"/>
      <c r="BY32" s="113"/>
      <c r="BZ32" s="113"/>
      <c r="CB32" s="113"/>
      <c r="CC32" s="113"/>
      <c r="CD32" s="113"/>
      <c r="CE32" s="113"/>
      <c r="CG32" s="113"/>
      <c r="CH32" s="113"/>
      <c r="CI32" s="113"/>
      <c r="CJ32" s="113"/>
    </row>
    <row r="33" spans="38:88" x14ac:dyDescent="0.2">
      <c r="AL33" s="112"/>
      <c r="AM33" s="113"/>
      <c r="AN33" s="113"/>
      <c r="AO33" s="113"/>
      <c r="AP33" s="113"/>
      <c r="AQ33" s="113"/>
      <c r="AS33" s="113"/>
      <c r="AT33" s="113"/>
      <c r="AU33" s="113"/>
      <c r="AV33" s="113"/>
      <c r="AX33" s="113"/>
      <c r="AY33" s="113"/>
      <c r="AZ33" s="113"/>
      <c r="BA33" s="113"/>
      <c r="BC33" s="113"/>
      <c r="BD33" s="113"/>
      <c r="BE33" s="113"/>
      <c r="BF33" s="113"/>
      <c r="BH33" s="113"/>
      <c r="BI33" s="113"/>
      <c r="BJ33" s="113"/>
      <c r="BK33" s="113"/>
      <c r="BM33" s="113"/>
      <c r="BN33" s="113"/>
      <c r="BO33" s="113"/>
      <c r="BP33" s="113"/>
      <c r="BR33" s="113"/>
      <c r="BS33" s="113"/>
      <c r="BT33" s="113"/>
      <c r="BU33" s="113"/>
      <c r="BW33" s="113"/>
      <c r="BX33" s="113"/>
      <c r="BY33" s="113"/>
      <c r="BZ33" s="113"/>
      <c r="CB33" s="113"/>
      <c r="CC33" s="113"/>
      <c r="CD33" s="113"/>
      <c r="CE33" s="113"/>
      <c r="CG33" s="113"/>
      <c r="CH33" s="113"/>
      <c r="CI33" s="113"/>
      <c r="CJ33" s="113"/>
    </row>
    <row r="34" spans="38:88" x14ac:dyDescent="0.2">
      <c r="AL34" s="112"/>
      <c r="AM34" s="113"/>
      <c r="AN34" s="113"/>
      <c r="AO34" s="113"/>
      <c r="AP34" s="113"/>
      <c r="AQ34" s="113"/>
      <c r="AS34" s="113"/>
      <c r="AT34" s="113"/>
      <c r="AU34" s="113"/>
      <c r="AV34" s="113"/>
      <c r="AX34" s="113"/>
      <c r="AY34" s="113"/>
      <c r="AZ34" s="113"/>
      <c r="BA34" s="113"/>
      <c r="BC34" s="113"/>
      <c r="BD34" s="113"/>
      <c r="BE34" s="113"/>
      <c r="BF34" s="113"/>
      <c r="BH34" s="113"/>
      <c r="BI34" s="113"/>
      <c r="BJ34" s="113"/>
      <c r="BK34" s="113"/>
      <c r="BM34" s="113"/>
      <c r="BN34" s="113"/>
      <c r="BO34" s="113"/>
      <c r="BP34" s="113"/>
      <c r="BR34" s="113"/>
      <c r="BS34" s="113"/>
      <c r="BT34" s="113"/>
      <c r="BU34" s="113"/>
      <c r="BW34" s="113"/>
      <c r="BX34" s="113"/>
      <c r="BY34" s="113"/>
      <c r="BZ34" s="113"/>
      <c r="CB34" s="113"/>
      <c r="CC34" s="113"/>
      <c r="CD34" s="113"/>
      <c r="CE34" s="113"/>
      <c r="CG34" s="113"/>
      <c r="CH34" s="113"/>
      <c r="CI34" s="113"/>
      <c r="CJ34" s="113"/>
    </row>
    <row r="35" spans="38:88" x14ac:dyDescent="0.2">
      <c r="AL35" s="112"/>
      <c r="AM35" s="113"/>
      <c r="AN35" s="113"/>
      <c r="AO35" s="113"/>
      <c r="AP35" s="113"/>
      <c r="AQ35" s="113"/>
      <c r="AS35" s="113"/>
      <c r="AT35" s="113"/>
      <c r="AU35" s="113"/>
      <c r="AV35" s="113"/>
      <c r="AX35" s="113"/>
      <c r="AY35" s="113"/>
      <c r="AZ35" s="113"/>
      <c r="BA35" s="113"/>
      <c r="BC35" s="113"/>
      <c r="BD35" s="113"/>
      <c r="BE35" s="113"/>
      <c r="BF35" s="113"/>
      <c r="BH35" s="113"/>
      <c r="BI35" s="113"/>
      <c r="BJ35" s="113"/>
      <c r="BK35" s="113"/>
      <c r="BM35" s="113"/>
      <c r="BN35" s="113"/>
      <c r="BO35" s="113"/>
      <c r="BP35" s="113"/>
      <c r="BR35" s="113"/>
      <c r="BS35" s="113"/>
      <c r="BT35" s="113"/>
      <c r="BU35" s="113"/>
      <c r="BW35" s="113"/>
      <c r="BX35" s="113"/>
      <c r="BY35" s="113"/>
      <c r="BZ35" s="113"/>
      <c r="CB35" s="113"/>
      <c r="CC35" s="113"/>
      <c r="CD35" s="113"/>
      <c r="CE35" s="113"/>
      <c r="CG35" s="113"/>
      <c r="CH35" s="113"/>
      <c r="CI35" s="113"/>
      <c r="CJ35" s="113"/>
    </row>
    <row r="36" spans="38:88" x14ac:dyDescent="0.2">
      <c r="AL36" s="112"/>
      <c r="AM36" s="113"/>
      <c r="AN36" s="113"/>
      <c r="AO36" s="113"/>
      <c r="AP36" s="113"/>
      <c r="AQ36" s="113"/>
      <c r="AS36" s="113"/>
      <c r="AT36" s="113"/>
      <c r="AU36" s="113"/>
      <c r="AV36" s="113"/>
      <c r="AX36" s="113"/>
      <c r="AY36" s="113"/>
      <c r="AZ36" s="113"/>
      <c r="BA36" s="113"/>
      <c r="BC36" s="113"/>
      <c r="BD36" s="113"/>
      <c r="BE36" s="113"/>
      <c r="BF36" s="113"/>
      <c r="BH36" s="113"/>
      <c r="BI36" s="113"/>
      <c r="BJ36" s="113"/>
      <c r="BK36" s="113"/>
      <c r="BM36" s="113"/>
      <c r="BN36" s="113"/>
      <c r="BO36" s="113"/>
      <c r="BP36" s="113"/>
      <c r="BR36" s="113"/>
      <c r="BS36" s="113"/>
      <c r="BT36" s="113"/>
      <c r="BU36" s="113"/>
      <c r="BW36" s="113"/>
      <c r="BX36" s="113"/>
      <c r="BY36" s="113"/>
      <c r="BZ36" s="113"/>
      <c r="CB36" s="113"/>
      <c r="CC36" s="113"/>
      <c r="CD36" s="113"/>
      <c r="CE36" s="113"/>
      <c r="CG36" s="113"/>
      <c r="CH36" s="113"/>
      <c r="CI36" s="113"/>
      <c r="CJ36" s="113"/>
    </row>
    <row r="37" spans="38:88" x14ac:dyDescent="0.2">
      <c r="AL37" s="112"/>
      <c r="AM37" s="113"/>
      <c r="AN37" s="113"/>
      <c r="AO37" s="113"/>
      <c r="AP37" s="113"/>
      <c r="AQ37" s="113"/>
      <c r="AS37" s="113"/>
      <c r="AT37" s="113"/>
      <c r="AU37" s="113"/>
      <c r="AV37" s="113"/>
      <c r="AX37" s="113"/>
      <c r="AY37" s="113"/>
      <c r="AZ37" s="113"/>
      <c r="BA37" s="113"/>
      <c r="BC37" s="113"/>
      <c r="BD37" s="113"/>
      <c r="BE37" s="113"/>
      <c r="BF37" s="113"/>
      <c r="BH37" s="113"/>
      <c r="BI37" s="113"/>
      <c r="BJ37" s="113"/>
      <c r="BK37" s="113"/>
      <c r="BM37" s="113"/>
      <c r="BN37" s="113"/>
      <c r="BO37" s="113"/>
      <c r="BP37" s="113"/>
      <c r="BR37" s="113"/>
      <c r="BS37" s="113"/>
      <c r="BT37" s="113"/>
      <c r="BU37" s="113"/>
      <c r="BW37" s="113"/>
      <c r="BX37" s="113"/>
      <c r="BY37" s="113"/>
      <c r="BZ37" s="113"/>
      <c r="CB37" s="113"/>
      <c r="CC37" s="113"/>
      <c r="CD37" s="113"/>
      <c r="CE37" s="113"/>
      <c r="CG37" s="113"/>
      <c r="CH37" s="113"/>
      <c r="CI37" s="113"/>
      <c r="CJ37" s="113"/>
    </row>
    <row r="38" spans="38:88" x14ac:dyDescent="0.2">
      <c r="AL38" s="112"/>
      <c r="AM38" s="113"/>
      <c r="AN38" s="113"/>
      <c r="AO38" s="113"/>
      <c r="AP38" s="113"/>
      <c r="AQ38" s="113"/>
      <c r="AS38" s="113"/>
      <c r="AT38" s="113"/>
      <c r="AU38" s="113"/>
      <c r="AV38" s="113"/>
      <c r="AX38" s="113"/>
      <c r="AY38" s="113"/>
      <c r="AZ38" s="113"/>
      <c r="BA38" s="113"/>
      <c r="BC38" s="113"/>
      <c r="BD38" s="113"/>
      <c r="BE38" s="113"/>
      <c r="BF38" s="113"/>
      <c r="BH38" s="113"/>
      <c r="BI38" s="113"/>
      <c r="BJ38" s="113"/>
      <c r="BK38" s="113"/>
      <c r="BM38" s="113"/>
      <c r="BN38" s="113"/>
      <c r="BO38" s="113"/>
      <c r="BP38" s="113"/>
      <c r="BR38" s="113"/>
      <c r="BS38" s="113"/>
      <c r="BT38" s="113"/>
      <c r="BU38" s="113"/>
      <c r="BW38" s="113"/>
      <c r="BX38" s="113"/>
      <c r="BY38" s="113"/>
      <c r="BZ38" s="113"/>
      <c r="CB38" s="113"/>
      <c r="CC38" s="113"/>
      <c r="CD38" s="113"/>
      <c r="CE38" s="113"/>
      <c r="CG38" s="113"/>
      <c r="CH38" s="113"/>
      <c r="CI38" s="113"/>
      <c r="CJ38" s="113"/>
    </row>
    <row r="39" spans="38:88" x14ac:dyDescent="0.2">
      <c r="AL39" s="112"/>
      <c r="AM39" s="113"/>
      <c r="AN39" s="113"/>
      <c r="AO39" s="113"/>
      <c r="AP39" s="113"/>
      <c r="AQ39" s="113"/>
      <c r="AS39" s="113"/>
      <c r="AT39" s="113"/>
      <c r="AU39" s="113"/>
      <c r="AV39" s="113"/>
      <c r="AX39" s="113"/>
      <c r="AY39" s="113"/>
      <c r="AZ39" s="113"/>
      <c r="BA39" s="113"/>
      <c r="BC39" s="113"/>
      <c r="BD39" s="113"/>
      <c r="BE39" s="113"/>
      <c r="BF39" s="113"/>
      <c r="BH39" s="113"/>
      <c r="BI39" s="113"/>
      <c r="BJ39" s="113"/>
      <c r="BK39" s="113"/>
      <c r="BM39" s="113"/>
      <c r="BN39" s="113"/>
      <c r="BO39" s="113"/>
      <c r="BP39" s="113"/>
      <c r="BR39" s="113"/>
      <c r="BS39" s="113"/>
      <c r="BT39" s="113"/>
      <c r="BU39" s="113"/>
      <c r="BW39" s="113"/>
      <c r="BX39" s="113"/>
      <c r="BY39" s="113"/>
      <c r="BZ39" s="113"/>
      <c r="CB39" s="113"/>
      <c r="CC39" s="113"/>
      <c r="CD39" s="113"/>
      <c r="CE39" s="113"/>
      <c r="CG39" s="113"/>
      <c r="CH39" s="113"/>
      <c r="CI39" s="113"/>
      <c r="CJ39" s="113"/>
    </row>
    <row r="40" spans="38:88" x14ac:dyDescent="0.2">
      <c r="AL40" s="112"/>
      <c r="AM40" s="113"/>
      <c r="AN40" s="113"/>
      <c r="AO40" s="113"/>
      <c r="AP40" s="113"/>
      <c r="AQ40" s="113"/>
      <c r="AS40" s="113"/>
      <c r="AT40" s="113"/>
      <c r="AU40" s="113"/>
      <c r="AV40" s="113"/>
      <c r="AX40" s="113"/>
      <c r="AY40" s="113"/>
      <c r="AZ40" s="113"/>
      <c r="BA40" s="113"/>
      <c r="BC40" s="113"/>
      <c r="BD40" s="113"/>
      <c r="BE40" s="113"/>
      <c r="BF40" s="113"/>
      <c r="BH40" s="113"/>
      <c r="BI40" s="113"/>
      <c r="BJ40" s="113"/>
      <c r="BK40" s="113"/>
      <c r="BM40" s="113"/>
      <c r="BN40" s="113"/>
      <c r="BO40" s="113"/>
      <c r="BP40" s="113"/>
      <c r="BR40" s="113"/>
      <c r="BS40" s="113"/>
      <c r="BT40" s="113"/>
      <c r="BU40" s="113"/>
      <c r="BW40" s="113"/>
      <c r="BX40" s="113"/>
      <c r="BY40" s="113"/>
      <c r="BZ40" s="113"/>
      <c r="CB40" s="113"/>
      <c r="CC40" s="113"/>
      <c r="CD40" s="113"/>
      <c r="CE40" s="113"/>
      <c r="CG40" s="113"/>
      <c r="CH40" s="113"/>
      <c r="CI40" s="113"/>
      <c r="CJ40" s="113"/>
    </row>
    <row r="41" spans="38:88" x14ac:dyDescent="0.2">
      <c r="AL41" s="112"/>
      <c r="AM41" s="113"/>
      <c r="AN41" s="113"/>
      <c r="AO41" s="113"/>
      <c r="AP41" s="113"/>
      <c r="AQ41" s="113"/>
      <c r="AS41" s="113"/>
      <c r="AT41" s="113"/>
      <c r="AU41" s="113"/>
      <c r="AV41" s="113"/>
      <c r="AX41" s="113"/>
      <c r="AY41" s="113"/>
      <c r="AZ41" s="113"/>
      <c r="BA41" s="113"/>
      <c r="BC41" s="113"/>
      <c r="BD41" s="113"/>
      <c r="BE41" s="113"/>
      <c r="BF41" s="113"/>
      <c r="BH41" s="113"/>
      <c r="BI41" s="113"/>
      <c r="BJ41" s="113"/>
      <c r="BK41" s="113"/>
      <c r="BM41" s="113"/>
      <c r="BN41" s="113"/>
      <c r="BO41" s="113"/>
      <c r="BP41" s="113"/>
      <c r="BR41" s="113"/>
      <c r="BS41" s="113"/>
      <c r="BT41" s="113"/>
      <c r="BU41" s="113"/>
      <c r="BW41" s="113"/>
      <c r="BX41" s="113"/>
      <c r="BY41" s="113"/>
      <c r="BZ41" s="113"/>
      <c r="CB41" s="113"/>
      <c r="CC41" s="113"/>
      <c r="CD41" s="113"/>
      <c r="CE41" s="113"/>
      <c r="CG41" s="113"/>
      <c r="CH41" s="113"/>
      <c r="CI41" s="113"/>
      <c r="CJ41" s="113"/>
    </row>
    <row r="42" spans="38:88" x14ac:dyDescent="0.2">
      <c r="AL42" s="112"/>
      <c r="AM42" s="113"/>
      <c r="AN42" s="113"/>
      <c r="AO42" s="113"/>
      <c r="AP42" s="113"/>
      <c r="AQ42" s="113"/>
      <c r="AS42" s="113"/>
      <c r="AT42" s="113"/>
      <c r="AU42" s="113"/>
      <c r="AV42" s="113"/>
      <c r="AX42" s="113"/>
      <c r="AY42" s="113"/>
      <c r="AZ42" s="113"/>
      <c r="BA42" s="113"/>
      <c r="BC42" s="113"/>
      <c r="BD42" s="113"/>
      <c r="BE42" s="113"/>
      <c r="BF42" s="113"/>
      <c r="BH42" s="113"/>
      <c r="BI42" s="113"/>
      <c r="BJ42" s="113"/>
      <c r="BK42" s="113"/>
      <c r="BM42" s="113"/>
      <c r="BN42" s="113"/>
      <c r="BO42" s="113"/>
      <c r="BP42" s="113"/>
      <c r="BR42" s="113"/>
      <c r="BS42" s="113"/>
      <c r="BT42" s="113"/>
      <c r="BU42" s="113"/>
      <c r="BW42" s="113"/>
      <c r="BX42" s="113"/>
      <c r="BY42" s="113"/>
      <c r="BZ42" s="113"/>
      <c r="CB42" s="113"/>
      <c r="CC42" s="113"/>
      <c r="CD42" s="113"/>
      <c r="CE42" s="113"/>
      <c r="CG42" s="113"/>
      <c r="CH42" s="113"/>
      <c r="CI42" s="113"/>
      <c r="CJ42" s="113"/>
    </row>
    <row r="43" spans="38:88" x14ac:dyDescent="0.2">
      <c r="AL43" s="112"/>
      <c r="AM43" s="113"/>
      <c r="AN43" s="113"/>
      <c r="AO43" s="113"/>
      <c r="AP43" s="113"/>
      <c r="AQ43" s="113"/>
      <c r="AS43" s="113"/>
      <c r="AT43" s="113"/>
      <c r="AU43" s="113"/>
      <c r="AV43" s="113"/>
      <c r="AX43" s="113"/>
      <c r="AY43" s="113"/>
      <c r="AZ43" s="113"/>
      <c r="BA43" s="113"/>
      <c r="BC43" s="113"/>
      <c r="BD43" s="113"/>
      <c r="BE43" s="113"/>
      <c r="BF43" s="113"/>
      <c r="BH43" s="113"/>
      <c r="BI43" s="113"/>
      <c r="BJ43" s="113"/>
      <c r="BK43" s="113"/>
      <c r="BM43" s="113"/>
      <c r="BN43" s="113"/>
      <c r="BO43" s="113"/>
      <c r="BP43" s="113"/>
      <c r="BR43" s="113"/>
      <c r="BS43" s="113"/>
      <c r="BT43" s="113"/>
      <c r="BU43" s="113"/>
      <c r="BW43" s="113"/>
      <c r="BX43" s="113"/>
      <c r="BY43" s="113"/>
      <c r="BZ43" s="113"/>
      <c r="CB43" s="113"/>
      <c r="CC43" s="113"/>
      <c r="CD43" s="113"/>
      <c r="CE43" s="113"/>
      <c r="CG43" s="113"/>
      <c r="CH43" s="113"/>
      <c r="CI43" s="113"/>
      <c r="CJ43" s="113"/>
    </row>
    <row r="44" spans="38:88" x14ac:dyDescent="0.2">
      <c r="AL44" s="112"/>
      <c r="AM44" s="113"/>
      <c r="AN44" s="113"/>
      <c r="AO44" s="113"/>
      <c r="AP44" s="113"/>
      <c r="AQ44" s="113"/>
      <c r="AS44" s="113"/>
      <c r="AT44" s="113"/>
      <c r="AU44" s="113"/>
      <c r="AV44" s="113"/>
      <c r="AX44" s="113"/>
      <c r="AY44" s="113"/>
      <c r="AZ44" s="113"/>
      <c r="BA44" s="113"/>
      <c r="BC44" s="113"/>
      <c r="BD44" s="113"/>
      <c r="BE44" s="113"/>
      <c r="BF44" s="113"/>
      <c r="BH44" s="113"/>
      <c r="BI44" s="113"/>
      <c r="BJ44" s="113"/>
      <c r="BK44" s="113"/>
      <c r="BM44" s="113"/>
      <c r="BN44" s="113"/>
      <c r="BO44" s="113"/>
      <c r="BP44" s="113"/>
      <c r="BR44" s="113"/>
      <c r="BS44" s="113"/>
      <c r="BT44" s="113"/>
      <c r="BU44" s="113"/>
      <c r="BW44" s="113"/>
      <c r="BX44" s="113"/>
      <c r="BY44" s="113"/>
      <c r="BZ44" s="113"/>
      <c r="CB44" s="113"/>
      <c r="CC44" s="113"/>
      <c r="CD44" s="113"/>
      <c r="CE44" s="113"/>
      <c r="CG44" s="113"/>
      <c r="CH44" s="113"/>
      <c r="CI44" s="113"/>
      <c r="CJ44" s="113"/>
    </row>
    <row r="45" spans="38:88" x14ac:dyDescent="0.2">
      <c r="AL45" s="112"/>
      <c r="AM45" s="113"/>
      <c r="AN45" s="113"/>
      <c r="AO45" s="113"/>
      <c r="AP45" s="113"/>
      <c r="AQ45" s="113"/>
      <c r="AS45" s="113"/>
      <c r="AT45" s="113"/>
      <c r="AU45" s="113"/>
      <c r="AV45" s="113"/>
      <c r="AX45" s="113"/>
      <c r="AY45" s="113"/>
      <c r="AZ45" s="113"/>
      <c r="BA45" s="113"/>
      <c r="BC45" s="113"/>
      <c r="BD45" s="113"/>
      <c r="BE45" s="113"/>
      <c r="BF45" s="113"/>
      <c r="BH45" s="113"/>
      <c r="BI45" s="113"/>
      <c r="BJ45" s="113"/>
      <c r="BK45" s="113"/>
      <c r="BM45" s="113"/>
      <c r="BN45" s="113"/>
      <c r="BO45" s="113"/>
      <c r="BP45" s="113"/>
      <c r="BR45" s="113"/>
      <c r="BS45" s="113"/>
      <c r="BT45" s="113"/>
      <c r="BU45" s="113"/>
      <c r="BW45" s="113"/>
      <c r="BX45" s="113"/>
      <c r="BY45" s="113"/>
      <c r="BZ45" s="113"/>
      <c r="CB45" s="113"/>
      <c r="CC45" s="113"/>
      <c r="CD45" s="113"/>
      <c r="CE45" s="113"/>
      <c r="CG45" s="113"/>
      <c r="CH45" s="113"/>
      <c r="CI45" s="113"/>
      <c r="CJ45" s="113"/>
    </row>
    <row r="46" spans="38:88" x14ac:dyDescent="0.2">
      <c r="AL46" s="112"/>
      <c r="AM46" s="113"/>
      <c r="AN46" s="113"/>
      <c r="AO46" s="113"/>
      <c r="AP46" s="113"/>
      <c r="AQ46" s="113"/>
      <c r="AS46" s="113"/>
      <c r="AT46" s="113"/>
      <c r="AU46" s="113"/>
      <c r="AV46" s="113"/>
      <c r="AX46" s="113"/>
      <c r="AY46" s="113"/>
      <c r="AZ46" s="113"/>
      <c r="BA46" s="113"/>
      <c r="BC46" s="113"/>
      <c r="BD46" s="113"/>
      <c r="BE46" s="113"/>
      <c r="BF46" s="113"/>
      <c r="BH46" s="113"/>
      <c r="BI46" s="113"/>
      <c r="BJ46" s="113"/>
      <c r="BK46" s="113"/>
      <c r="BM46" s="113"/>
      <c r="BN46" s="113"/>
      <c r="BO46" s="113"/>
      <c r="BP46" s="113"/>
      <c r="BR46" s="113"/>
      <c r="BS46" s="113"/>
      <c r="BT46" s="113"/>
      <c r="BU46" s="113"/>
      <c r="BW46" s="113"/>
      <c r="BX46" s="113"/>
      <c r="BY46" s="113"/>
      <c r="BZ46" s="113"/>
      <c r="CB46" s="113"/>
      <c r="CC46" s="113"/>
      <c r="CD46" s="113"/>
      <c r="CE46" s="113"/>
      <c r="CG46" s="113"/>
      <c r="CH46" s="113"/>
      <c r="CI46" s="113"/>
      <c r="CJ46" s="113"/>
    </row>
    <row r="47" spans="38:88" x14ac:dyDescent="0.2">
      <c r="AL47" s="112"/>
      <c r="AM47" s="113"/>
      <c r="AN47" s="113"/>
      <c r="AO47" s="113"/>
      <c r="AP47" s="113"/>
      <c r="AQ47" s="113"/>
      <c r="AS47" s="113"/>
      <c r="AT47" s="113"/>
      <c r="AU47" s="113"/>
      <c r="AV47" s="113"/>
      <c r="AX47" s="113"/>
      <c r="AY47" s="113"/>
      <c r="AZ47" s="113"/>
      <c r="BA47" s="113"/>
      <c r="BC47" s="113"/>
      <c r="BD47" s="113"/>
      <c r="BE47" s="113"/>
      <c r="BF47" s="113"/>
      <c r="BH47" s="113"/>
      <c r="BI47" s="113"/>
      <c r="BJ47" s="113"/>
      <c r="BK47" s="113"/>
      <c r="BM47" s="113"/>
      <c r="BN47" s="113"/>
      <c r="BO47" s="113"/>
      <c r="BP47" s="113"/>
      <c r="BR47" s="113"/>
      <c r="BS47" s="113"/>
      <c r="BT47" s="113"/>
      <c r="BU47" s="113"/>
      <c r="BW47" s="113"/>
      <c r="BX47" s="113"/>
      <c r="BY47" s="113"/>
      <c r="BZ47" s="113"/>
      <c r="CB47" s="113"/>
      <c r="CC47" s="113"/>
      <c r="CD47" s="113"/>
      <c r="CE47" s="113"/>
      <c r="CG47" s="113"/>
      <c r="CH47" s="113"/>
      <c r="CI47" s="113"/>
      <c r="CJ47" s="113"/>
    </row>
    <row r="48" spans="38:88" x14ac:dyDescent="0.2">
      <c r="AL48" s="112"/>
      <c r="AM48" s="113"/>
      <c r="AN48" s="113"/>
      <c r="AO48" s="113"/>
      <c r="AP48" s="113"/>
      <c r="AQ48" s="113"/>
      <c r="AS48" s="113"/>
      <c r="AT48" s="113"/>
      <c r="AU48" s="113"/>
      <c r="AV48" s="113"/>
      <c r="AX48" s="113"/>
      <c r="AY48" s="113"/>
      <c r="AZ48" s="113"/>
      <c r="BA48" s="113"/>
      <c r="BC48" s="113"/>
      <c r="BD48" s="113"/>
      <c r="BE48" s="113"/>
      <c r="BF48" s="113"/>
      <c r="BH48" s="113"/>
      <c r="BI48" s="113"/>
      <c r="BJ48" s="113"/>
      <c r="BK48" s="113"/>
      <c r="BM48" s="113"/>
      <c r="BN48" s="113"/>
      <c r="BO48" s="113"/>
      <c r="BP48" s="113"/>
      <c r="BR48" s="113"/>
      <c r="BS48" s="113"/>
      <c r="BT48" s="113"/>
      <c r="BU48" s="113"/>
      <c r="BW48" s="113"/>
      <c r="BX48" s="113"/>
      <c r="BY48" s="113"/>
      <c r="BZ48" s="113"/>
      <c r="CB48" s="113"/>
      <c r="CC48" s="113"/>
      <c r="CD48" s="113"/>
      <c r="CE48" s="113"/>
      <c r="CG48" s="113"/>
      <c r="CH48" s="113"/>
      <c r="CI48" s="113"/>
      <c r="CJ48" s="113"/>
    </row>
    <row r="49" spans="38:88" x14ac:dyDescent="0.2">
      <c r="AL49" s="112"/>
      <c r="AM49" s="113"/>
      <c r="AN49" s="113"/>
      <c r="AO49" s="113"/>
      <c r="AP49" s="113"/>
      <c r="AQ49" s="113"/>
      <c r="AS49" s="113"/>
      <c r="AT49" s="113"/>
      <c r="AU49" s="113"/>
      <c r="AV49" s="113"/>
      <c r="AX49" s="113"/>
      <c r="AY49" s="113"/>
      <c r="AZ49" s="113"/>
      <c r="BA49" s="113"/>
      <c r="BC49" s="113"/>
      <c r="BD49" s="113"/>
      <c r="BE49" s="113"/>
      <c r="BF49" s="113"/>
      <c r="BH49" s="113"/>
      <c r="BI49" s="113"/>
      <c r="BJ49" s="113"/>
      <c r="BK49" s="113"/>
      <c r="BM49" s="113"/>
      <c r="BN49" s="113"/>
      <c r="BO49" s="113"/>
      <c r="BP49" s="113"/>
      <c r="BR49" s="113"/>
      <c r="BS49" s="113"/>
      <c r="BT49" s="113"/>
      <c r="BU49" s="113"/>
      <c r="BW49" s="113"/>
      <c r="BX49" s="113"/>
      <c r="BY49" s="113"/>
      <c r="BZ49" s="113"/>
      <c r="CB49" s="113"/>
      <c r="CC49" s="113"/>
      <c r="CD49" s="113"/>
      <c r="CE49" s="113"/>
      <c r="CG49" s="113"/>
      <c r="CH49" s="113"/>
      <c r="CI49" s="113"/>
      <c r="CJ49" s="113"/>
    </row>
    <row r="50" spans="38:88" x14ac:dyDescent="0.2">
      <c r="AL50" s="112"/>
      <c r="AM50" s="113"/>
      <c r="AN50" s="113"/>
      <c r="AO50" s="113"/>
      <c r="AP50" s="113"/>
      <c r="AQ50" s="113"/>
      <c r="AS50" s="113"/>
      <c r="AT50" s="113"/>
      <c r="AU50" s="113"/>
      <c r="AV50" s="113"/>
      <c r="AX50" s="113"/>
      <c r="AY50" s="113"/>
      <c r="AZ50" s="113"/>
      <c r="BA50" s="113"/>
      <c r="BC50" s="113"/>
      <c r="BD50" s="113"/>
      <c r="BE50" s="113"/>
      <c r="BF50" s="113"/>
      <c r="BH50" s="113"/>
      <c r="BI50" s="113"/>
      <c r="BJ50" s="113"/>
      <c r="BK50" s="113"/>
      <c r="BM50" s="113"/>
      <c r="BN50" s="113"/>
      <c r="BO50" s="113"/>
      <c r="BP50" s="113"/>
      <c r="BR50" s="113"/>
      <c r="BS50" s="113"/>
      <c r="BT50" s="113"/>
      <c r="BU50" s="113"/>
      <c r="BW50" s="113"/>
      <c r="BX50" s="113"/>
      <c r="BY50" s="113"/>
      <c r="BZ50" s="113"/>
      <c r="CB50" s="113"/>
      <c r="CC50" s="113"/>
      <c r="CD50" s="113"/>
      <c r="CE50" s="113"/>
      <c r="CG50" s="113"/>
      <c r="CH50" s="113"/>
      <c r="CI50" s="113"/>
      <c r="CJ50" s="113"/>
    </row>
    <row r="51" spans="38:88" x14ac:dyDescent="0.2">
      <c r="AL51" s="112"/>
      <c r="AM51" s="113"/>
      <c r="AN51" s="113"/>
      <c r="AO51" s="113"/>
      <c r="AP51" s="113"/>
      <c r="AQ51" s="113"/>
      <c r="AS51" s="113"/>
      <c r="AT51" s="113"/>
      <c r="AU51" s="113"/>
      <c r="AV51" s="113"/>
      <c r="AX51" s="113"/>
      <c r="AY51" s="113"/>
      <c r="AZ51" s="113"/>
      <c r="BA51" s="113"/>
      <c r="BC51" s="113"/>
      <c r="BD51" s="113"/>
      <c r="BE51" s="113"/>
      <c r="BF51" s="113"/>
      <c r="BH51" s="113"/>
      <c r="BI51" s="113"/>
      <c r="BJ51" s="113"/>
      <c r="BK51" s="113"/>
      <c r="BM51" s="113"/>
      <c r="BN51" s="113"/>
      <c r="BO51" s="113"/>
      <c r="BP51" s="113"/>
      <c r="BR51" s="113"/>
      <c r="BS51" s="113"/>
      <c r="BT51" s="113"/>
      <c r="BU51" s="113"/>
      <c r="BW51" s="113"/>
      <c r="BX51" s="113"/>
      <c r="BY51" s="113"/>
      <c r="BZ51" s="113"/>
      <c r="CB51" s="113"/>
      <c r="CC51" s="113"/>
      <c r="CD51" s="113"/>
      <c r="CE51" s="113"/>
      <c r="CG51" s="113"/>
      <c r="CH51" s="113"/>
      <c r="CI51" s="113"/>
      <c r="CJ51" s="113"/>
    </row>
    <row r="52" spans="38:88" x14ac:dyDescent="0.2">
      <c r="AL52" s="112"/>
      <c r="AM52" s="113"/>
      <c r="AN52" s="113"/>
      <c r="AO52" s="113"/>
      <c r="AP52" s="113"/>
      <c r="AQ52" s="113"/>
      <c r="AS52" s="113"/>
      <c r="AT52" s="113"/>
      <c r="AU52" s="113"/>
      <c r="AV52" s="113"/>
      <c r="AX52" s="113"/>
      <c r="AY52" s="113"/>
      <c r="AZ52" s="113"/>
      <c r="BA52" s="113"/>
      <c r="BC52" s="113"/>
      <c r="BD52" s="113"/>
      <c r="BE52" s="113"/>
      <c r="BF52" s="113"/>
      <c r="BH52" s="113"/>
      <c r="BI52" s="113"/>
      <c r="BJ52" s="113"/>
      <c r="BK52" s="113"/>
      <c r="BM52" s="113"/>
      <c r="BN52" s="113"/>
      <c r="BO52" s="113"/>
      <c r="BP52" s="113"/>
      <c r="BR52" s="113"/>
      <c r="BS52" s="113"/>
      <c r="BT52" s="113"/>
      <c r="BU52" s="113"/>
      <c r="BW52" s="113"/>
      <c r="BX52" s="113"/>
      <c r="BY52" s="113"/>
      <c r="BZ52" s="113"/>
      <c r="CB52" s="113"/>
      <c r="CC52" s="113"/>
      <c r="CD52" s="113"/>
      <c r="CE52" s="113"/>
      <c r="CG52" s="113"/>
      <c r="CH52" s="113"/>
      <c r="CI52" s="113"/>
      <c r="CJ52" s="113"/>
    </row>
    <row r="53" spans="38:88" x14ac:dyDescent="0.2">
      <c r="AL53" s="112"/>
      <c r="AM53" s="113"/>
      <c r="AN53" s="113"/>
      <c r="AO53" s="113"/>
      <c r="AP53" s="113"/>
      <c r="AQ53" s="113"/>
      <c r="AS53" s="113"/>
      <c r="AT53" s="113"/>
      <c r="AU53" s="113"/>
      <c r="AV53" s="113"/>
      <c r="AX53" s="113"/>
      <c r="AY53" s="113"/>
      <c r="AZ53" s="113"/>
      <c r="BA53" s="113"/>
      <c r="BC53" s="113"/>
      <c r="BD53" s="113"/>
      <c r="BE53" s="113"/>
      <c r="BF53" s="113"/>
      <c r="BH53" s="113"/>
      <c r="BI53" s="113"/>
      <c r="BJ53" s="113"/>
      <c r="BK53" s="113"/>
      <c r="BM53" s="113"/>
      <c r="BN53" s="113"/>
      <c r="BO53" s="113"/>
      <c r="BP53" s="113"/>
      <c r="BR53" s="113"/>
      <c r="BS53" s="113"/>
      <c r="BT53" s="113"/>
      <c r="BU53" s="113"/>
      <c r="BW53" s="113"/>
      <c r="BX53" s="113"/>
      <c r="BY53" s="113"/>
      <c r="BZ53" s="113"/>
      <c r="CB53" s="113"/>
      <c r="CC53" s="113"/>
      <c r="CD53" s="113"/>
      <c r="CE53" s="113"/>
      <c r="CG53" s="113"/>
      <c r="CH53" s="113"/>
      <c r="CI53" s="113"/>
      <c r="CJ53" s="113"/>
    </row>
    <row r="54" spans="38:88" x14ac:dyDescent="0.2">
      <c r="AL54" s="112"/>
      <c r="AM54" s="113"/>
      <c r="AN54" s="113"/>
      <c r="AO54" s="113"/>
      <c r="AP54" s="113"/>
      <c r="AQ54" s="113"/>
      <c r="AS54" s="113"/>
      <c r="AT54" s="113"/>
      <c r="AU54" s="113"/>
      <c r="AV54" s="113"/>
      <c r="AX54" s="113"/>
      <c r="AY54" s="113"/>
      <c r="AZ54" s="113"/>
      <c r="BA54" s="113"/>
      <c r="BC54" s="113"/>
      <c r="BD54" s="113"/>
      <c r="BE54" s="113"/>
      <c r="BF54" s="113"/>
      <c r="BH54" s="113"/>
      <c r="BI54" s="113"/>
      <c r="BJ54" s="113"/>
      <c r="BK54" s="113"/>
      <c r="BM54" s="113"/>
      <c r="BN54" s="113"/>
      <c r="BO54" s="113"/>
      <c r="BP54" s="113"/>
      <c r="BR54" s="113"/>
      <c r="BS54" s="113"/>
      <c r="BT54" s="113"/>
      <c r="BU54" s="113"/>
      <c r="BW54" s="113"/>
      <c r="BX54" s="113"/>
      <c r="BY54" s="113"/>
      <c r="BZ54" s="113"/>
      <c r="CB54" s="113"/>
      <c r="CC54" s="113"/>
      <c r="CD54" s="113"/>
      <c r="CE54" s="113"/>
      <c r="CG54" s="113"/>
      <c r="CH54" s="113"/>
      <c r="CI54" s="113"/>
      <c r="CJ54" s="113"/>
    </row>
    <row r="55" spans="38:88" x14ac:dyDescent="0.2">
      <c r="AL55" s="112"/>
      <c r="AM55" s="113"/>
      <c r="AN55" s="113"/>
      <c r="AO55" s="113"/>
      <c r="AP55" s="113"/>
      <c r="AQ55" s="113"/>
      <c r="AS55" s="113"/>
      <c r="AT55" s="113"/>
      <c r="AU55" s="113"/>
      <c r="AV55" s="113"/>
      <c r="AX55" s="113"/>
      <c r="AY55" s="113"/>
      <c r="AZ55" s="113"/>
      <c r="BA55" s="113"/>
      <c r="BC55" s="113"/>
      <c r="BD55" s="113"/>
      <c r="BE55" s="113"/>
      <c r="BF55" s="113"/>
      <c r="BH55" s="113"/>
      <c r="BI55" s="113"/>
      <c r="BJ55" s="113"/>
      <c r="BK55" s="113"/>
      <c r="BM55" s="113"/>
      <c r="BN55" s="113"/>
      <c r="BO55" s="113"/>
      <c r="BP55" s="113"/>
      <c r="BR55" s="113"/>
      <c r="BS55" s="113"/>
      <c r="BT55" s="113"/>
      <c r="BU55" s="113"/>
      <c r="BW55" s="113"/>
      <c r="BX55" s="113"/>
      <c r="BY55" s="113"/>
      <c r="BZ55" s="113"/>
      <c r="CB55" s="113"/>
      <c r="CC55" s="113"/>
      <c r="CD55" s="113"/>
      <c r="CE55" s="113"/>
      <c r="CG55" s="113"/>
      <c r="CH55" s="113"/>
      <c r="CI55" s="113"/>
      <c r="CJ55" s="113"/>
    </row>
    <row r="56" spans="38:88" x14ac:dyDescent="0.2">
      <c r="AL56" s="112"/>
      <c r="AM56" s="113"/>
      <c r="AN56" s="113"/>
      <c r="AO56" s="113"/>
      <c r="AP56" s="113"/>
      <c r="AQ56" s="113"/>
      <c r="AS56" s="113"/>
      <c r="AT56" s="113"/>
      <c r="AU56" s="113"/>
      <c r="AV56" s="113"/>
      <c r="AX56" s="113"/>
      <c r="AY56" s="113"/>
      <c r="AZ56" s="113"/>
      <c r="BA56" s="113"/>
      <c r="BC56" s="113"/>
      <c r="BD56" s="113"/>
      <c r="BE56" s="113"/>
      <c r="BF56" s="113"/>
      <c r="BH56" s="113"/>
      <c r="BI56" s="113"/>
      <c r="BJ56" s="113"/>
      <c r="BK56" s="113"/>
      <c r="BM56" s="113"/>
      <c r="BN56" s="113"/>
      <c r="BO56" s="113"/>
      <c r="BP56" s="113"/>
      <c r="BR56" s="113"/>
      <c r="BS56" s="113"/>
      <c r="BT56" s="113"/>
      <c r="BU56" s="113"/>
      <c r="BW56" s="113"/>
      <c r="BX56" s="113"/>
      <c r="BY56" s="113"/>
      <c r="BZ56" s="113"/>
      <c r="CB56" s="113"/>
      <c r="CC56" s="113"/>
      <c r="CD56" s="113"/>
      <c r="CE56" s="113"/>
      <c r="CG56" s="113"/>
      <c r="CH56" s="113"/>
      <c r="CI56" s="113"/>
      <c r="CJ56" s="113"/>
    </row>
    <row r="57" spans="38:88" x14ac:dyDescent="0.2">
      <c r="AL57" s="112"/>
      <c r="AM57" s="113"/>
      <c r="AN57" s="113"/>
      <c r="AO57" s="113"/>
      <c r="AP57" s="113"/>
      <c r="AQ57" s="113"/>
      <c r="AS57" s="113"/>
      <c r="AT57" s="113"/>
      <c r="AU57" s="113"/>
      <c r="AV57" s="113"/>
      <c r="AX57" s="113"/>
      <c r="AY57" s="113"/>
      <c r="AZ57" s="113"/>
      <c r="BA57" s="113"/>
      <c r="BC57" s="113"/>
      <c r="BD57" s="113"/>
      <c r="BE57" s="113"/>
      <c r="BF57" s="113"/>
      <c r="BH57" s="113"/>
      <c r="BI57" s="113"/>
      <c r="BJ57" s="113"/>
      <c r="BK57" s="113"/>
      <c r="BM57" s="113"/>
      <c r="BN57" s="113"/>
      <c r="BO57" s="113"/>
      <c r="BP57" s="113"/>
      <c r="BR57" s="113"/>
      <c r="BS57" s="113"/>
      <c r="BT57" s="113"/>
      <c r="BU57" s="113"/>
      <c r="BW57" s="113"/>
      <c r="BX57" s="113"/>
      <c r="BY57" s="113"/>
      <c r="BZ57" s="113"/>
      <c r="CB57" s="113"/>
      <c r="CC57" s="113"/>
      <c r="CD57" s="113"/>
      <c r="CE57" s="113"/>
      <c r="CG57" s="113"/>
      <c r="CH57" s="113"/>
      <c r="CI57" s="113"/>
      <c r="CJ57" s="113"/>
    </row>
    <row r="58" spans="38:88" x14ac:dyDescent="0.2">
      <c r="AL58" s="112"/>
      <c r="AM58" s="113"/>
      <c r="AN58" s="113"/>
      <c r="AO58" s="113"/>
      <c r="AP58" s="113"/>
      <c r="AQ58" s="113"/>
      <c r="AS58" s="113"/>
      <c r="AT58" s="113"/>
      <c r="AU58" s="113"/>
      <c r="AV58" s="113"/>
      <c r="AX58" s="113"/>
      <c r="AY58" s="113"/>
      <c r="AZ58" s="113"/>
      <c r="BA58" s="113"/>
      <c r="BC58" s="113"/>
      <c r="BD58" s="113"/>
      <c r="BE58" s="113"/>
      <c r="BF58" s="113"/>
      <c r="BH58" s="113"/>
      <c r="BI58" s="113"/>
      <c r="BJ58" s="113"/>
      <c r="BK58" s="113"/>
      <c r="BM58" s="113"/>
      <c r="BN58" s="113"/>
      <c r="BO58" s="113"/>
      <c r="BP58" s="113"/>
      <c r="BR58" s="113"/>
      <c r="BS58" s="113"/>
      <c r="BT58" s="113"/>
      <c r="BU58" s="113"/>
      <c r="BW58" s="113"/>
      <c r="BX58" s="113"/>
      <c r="BY58" s="113"/>
      <c r="BZ58" s="113"/>
      <c r="CB58" s="113"/>
      <c r="CC58" s="113"/>
      <c r="CD58" s="113"/>
      <c r="CE58" s="113"/>
      <c r="CG58" s="113"/>
      <c r="CH58" s="113"/>
      <c r="CI58" s="113"/>
      <c r="CJ58" s="113"/>
    </row>
    <row r="59" spans="38:88" x14ac:dyDescent="0.2">
      <c r="AL59" s="112"/>
      <c r="AM59" s="113"/>
      <c r="AN59" s="113"/>
      <c r="AO59" s="113"/>
      <c r="AP59" s="113"/>
      <c r="AQ59" s="113"/>
      <c r="AS59" s="113"/>
      <c r="AT59" s="113"/>
      <c r="AU59" s="113"/>
      <c r="AV59" s="113"/>
      <c r="AX59" s="113"/>
      <c r="AY59" s="113"/>
      <c r="AZ59" s="113"/>
      <c r="BA59" s="113"/>
      <c r="BC59" s="113"/>
      <c r="BD59" s="113"/>
      <c r="BE59" s="113"/>
      <c r="BF59" s="113"/>
      <c r="BH59" s="113"/>
      <c r="BI59" s="113"/>
      <c r="BJ59" s="113"/>
      <c r="BK59" s="113"/>
      <c r="BM59" s="113"/>
      <c r="BN59" s="113"/>
      <c r="BO59" s="113"/>
      <c r="BP59" s="113"/>
      <c r="BR59" s="113"/>
      <c r="BS59" s="113"/>
      <c r="BT59" s="113"/>
      <c r="BU59" s="113"/>
      <c r="BW59" s="113"/>
      <c r="BX59" s="113"/>
      <c r="BY59" s="113"/>
      <c r="BZ59" s="113"/>
      <c r="CB59" s="113"/>
      <c r="CC59" s="113"/>
      <c r="CD59" s="113"/>
      <c r="CE59" s="113"/>
      <c r="CG59" s="113"/>
      <c r="CH59" s="113"/>
      <c r="CI59" s="113"/>
      <c r="CJ59" s="113"/>
    </row>
    <row r="60" spans="38:88" x14ac:dyDescent="0.2">
      <c r="AL60" s="112"/>
      <c r="AM60" s="113"/>
      <c r="AN60" s="113"/>
      <c r="AO60" s="113"/>
      <c r="AP60" s="113"/>
      <c r="AQ60" s="113"/>
      <c r="AS60" s="113"/>
      <c r="AT60" s="113"/>
      <c r="AU60" s="113"/>
      <c r="AV60" s="113"/>
      <c r="AX60" s="113"/>
      <c r="AY60" s="113"/>
      <c r="AZ60" s="113"/>
      <c r="BA60" s="113"/>
      <c r="BC60" s="113"/>
      <c r="BD60" s="113"/>
      <c r="BE60" s="113"/>
      <c r="BF60" s="113"/>
      <c r="BH60" s="113"/>
      <c r="BI60" s="113"/>
      <c r="BJ60" s="113"/>
      <c r="BK60" s="113"/>
      <c r="BM60" s="113"/>
      <c r="BN60" s="113"/>
      <c r="BO60" s="113"/>
      <c r="BP60" s="113"/>
      <c r="BR60" s="113"/>
      <c r="BS60" s="113"/>
      <c r="BT60" s="113"/>
      <c r="BU60" s="113"/>
      <c r="BW60" s="113"/>
      <c r="BX60" s="113"/>
      <c r="BY60" s="113"/>
      <c r="BZ60" s="113"/>
      <c r="CB60" s="113"/>
      <c r="CC60" s="113"/>
      <c r="CD60" s="113"/>
      <c r="CE60" s="113"/>
      <c r="CG60" s="113"/>
      <c r="CH60" s="113"/>
      <c r="CI60" s="113"/>
      <c r="CJ60" s="113"/>
    </row>
    <row r="61" spans="38:88" x14ac:dyDescent="0.2">
      <c r="AL61" s="112"/>
      <c r="AM61" s="113"/>
      <c r="AN61" s="113"/>
      <c r="AO61" s="113"/>
      <c r="AP61" s="113"/>
      <c r="AQ61" s="113"/>
      <c r="AS61" s="113"/>
      <c r="AT61" s="113"/>
      <c r="AU61" s="113"/>
      <c r="AV61" s="113"/>
      <c r="AX61" s="113"/>
      <c r="AY61" s="113"/>
      <c r="AZ61" s="113"/>
      <c r="BA61" s="113"/>
    </row>
    <row r="62" spans="38:88" x14ac:dyDescent="0.2">
      <c r="AL62" s="112"/>
      <c r="AM62" s="113"/>
      <c r="AN62" s="113"/>
      <c r="AO62" s="113"/>
      <c r="AP62" s="113"/>
      <c r="AQ62" s="113"/>
      <c r="AS62" s="113"/>
      <c r="AT62" s="113"/>
      <c r="AU62" s="113"/>
      <c r="AV62" s="113"/>
      <c r="AX62" s="113"/>
      <c r="AY62" s="113"/>
      <c r="AZ62" s="113"/>
      <c r="BA62" s="113"/>
    </row>
    <row r="63" spans="38:88" x14ac:dyDescent="0.2">
      <c r="AL63" s="112"/>
      <c r="AM63" s="113"/>
      <c r="AN63" s="113"/>
      <c r="AO63" s="113"/>
      <c r="AP63" s="113"/>
      <c r="AQ63" s="113"/>
      <c r="AS63" s="113"/>
      <c r="AT63" s="113"/>
      <c r="AU63" s="113"/>
      <c r="AV63" s="113"/>
      <c r="AX63" s="113"/>
      <c r="AY63" s="113"/>
      <c r="AZ63" s="113"/>
      <c r="BA63" s="113"/>
    </row>
    <row r="64" spans="38:88" x14ac:dyDescent="0.2">
      <c r="AL64" s="112"/>
      <c r="AM64" s="113"/>
      <c r="AN64" s="113"/>
      <c r="AO64" s="113"/>
      <c r="AP64" s="113"/>
      <c r="AQ64" s="113"/>
      <c r="AS64" s="113"/>
      <c r="AT64" s="113"/>
      <c r="AU64" s="113"/>
      <c r="AV64" s="113"/>
      <c r="AX64" s="113"/>
      <c r="AY64" s="113"/>
      <c r="AZ64" s="113"/>
      <c r="BA64" s="113"/>
    </row>
    <row r="65" spans="38:53" x14ac:dyDescent="0.2">
      <c r="AL65" s="112"/>
      <c r="AM65" s="113"/>
      <c r="AN65" s="113"/>
      <c r="AO65" s="113"/>
      <c r="AP65" s="113"/>
      <c r="AQ65" s="113"/>
      <c r="AS65" s="113"/>
      <c r="AT65" s="113"/>
      <c r="AU65" s="113"/>
      <c r="AV65" s="113"/>
      <c r="AX65" s="113"/>
      <c r="AY65" s="113"/>
      <c r="AZ65" s="113"/>
      <c r="BA65" s="113"/>
    </row>
    <row r="66" spans="38:53" x14ac:dyDescent="0.2">
      <c r="AL66" s="112"/>
      <c r="AM66" s="113"/>
      <c r="AN66" s="113"/>
      <c r="AO66" s="113"/>
      <c r="AP66" s="113"/>
      <c r="AQ66" s="113"/>
      <c r="AS66" s="113"/>
      <c r="AT66" s="113"/>
      <c r="AU66" s="113"/>
      <c r="AV66" s="113"/>
      <c r="AX66" s="113"/>
      <c r="AY66" s="113"/>
      <c r="AZ66" s="113"/>
      <c r="BA66" s="113"/>
    </row>
    <row r="67" spans="38:53" x14ac:dyDescent="0.2">
      <c r="AL67" s="112"/>
      <c r="AM67" s="113"/>
      <c r="AN67" s="113"/>
      <c r="AO67" s="113"/>
      <c r="AP67" s="113"/>
      <c r="AQ67" s="113"/>
      <c r="AS67" s="113"/>
      <c r="AT67" s="113"/>
      <c r="AU67" s="113"/>
      <c r="AV67" s="113"/>
      <c r="AX67" s="113"/>
      <c r="AY67" s="113"/>
      <c r="AZ67" s="113"/>
      <c r="BA67" s="113"/>
    </row>
    <row r="68" spans="38:53" x14ac:dyDescent="0.2">
      <c r="AL68" s="112"/>
      <c r="AM68" s="113"/>
      <c r="AN68" s="113"/>
      <c r="AO68" s="113"/>
      <c r="AP68" s="113"/>
      <c r="AQ68" s="113"/>
      <c r="AS68" s="113"/>
      <c r="AT68" s="113"/>
      <c r="AU68" s="113"/>
      <c r="AV68" s="113"/>
      <c r="AX68" s="113"/>
      <c r="AY68" s="113"/>
      <c r="AZ68" s="113"/>
      <c r="BA68" s="113"/>
    </row>
    <row r="69" spans="38:53" x14ac:dyDescent="0.2">
      <c r="AL69" s="112"/>
      <c r="AM69" s="113"/>
      <c r="AN69" s="113"/>
      <c r="AO69" s="113"/>
      <c r="AP69" s="113"/>
      <c r="AQ69" s="113"/>
      <c r="AS69" s="113"/>
      <c r="AT69" s="113"/>
      <c r="AU69" s="113"/>
      <c r="AV69" s="113"/>
      <c r="AX69" s="113"/>
      <c r="AY69" s="113"/>
      <c r="AZ69" s="113"/>
      <c r="BA69" s="113"/>
    </row>
    <row r="70" spans="38:53" x14ac:dyDescent="0.2">
      <c r="AL70" s="112"/>
      <c r="AM70" s="113"/>
      <c r="AN70" s="113"/>
      <c r="AO70" s="113"/>
      <c r="AP70" s="113"/>
      <c r="AQ70" s="113"/>
      <c r="AS70" s="113"/>
      <c r="AT70" s="113"/>
      <c r="AU70" s="113"/>
      <c r="AV70" s="113"/>
      <c r="AX70" s="113"/>
      <c r="AY70" s="113"/>
      <c r="AZ70" s="113"/>
      <c r="BA70" s="113"/>
    </row>
    <row r="71" spans="38:53" x14ac:dyDescent="0.2">
      <c r="AL71" s="112"/>
      <c r="AM71" s="113"/>
      <c r="AN71" s="113"/>
      <c r="AO71" s="113"/>
      <c r="AP71" s="113"/>
      <c r="AQ71" s="113"/>
      <c r="AS71" s="113"/>
      <c r="AT71" s="113"/>
      <c r="AU71" s="113"/>
      <c r="AV71" s="113"/>
      <c r="AX71" s="113"/>
      <c r="AY71" s="113"/>
      <c r="AZ71" s="113"/>
      <c r="BA71" s="113"/>
    </row>
    <row r="72" spans="38:53" x14ac:dyDescent="0.2">
      <c r="AL72" s="112"/>
      <c r="AM72" s="113"/>
      <c r="AN72" s="113"/>
      <c r="AO72" s="113"/>
      <c r="AP72" s="113"/>
      <c r="AQ72" s="113"/>
      <c r="AS72" s="113"/>
      <c r="AT72" s="113"/>
      <c r="AU72" s="113"/>
      <c r="AV72" s="113"/>
      <c r="AX72" s="113"/>
      <c r="AY72" s="113"/>
      <c r="AZ72" s="113"/>
      <c r="BA72" s="113"/>
    </row>
    <row r="73" spans="38:53" x14ac:dyDescent="0.2">
      <c r="AL73" s="112"/>
      <c r="AM73" s="113"/>
      <c r="AN73" s="113"/>
      <c r="AO73" s="113"/>
      <c r="AP73" s="113"/>
      <c r="AQ73" s="113"/>
      <c r="AS73" s="113"/>
      <c r="AT73" s="113"/>
      <c r="AU73" s="113"/>
      <c r="AV73" s="113"/>
      <c r="AX73" s="113"/>
      <c r="AY73" s="113"/>
      <c r="AZ73" s="113"/>
      <c r="BA73" s="113"/>
    </row>
    <row r="74" spans="38:53" x14ac:dyDescent="0.2">
      <c r="AL74" s="112"/>
      <c r="AM74" s="113"/>
      <c r="AN74" s="113"/>
      <c r="AO74" s="113"/>
      <c r="AP74" s="113"/>
      <c r="AQ74" s="113"/>
      <c r="AS74" s="113"/>
      <c r="AT74" s="113"/>
      <c r="AU74" s="113"/>
      <c r="AV74" s="113"/>
      <c r="AX74" s="113"/>
      <c r="AY74" s="113"/>
      <c r="AZ74" s="113"/>
      <c r="BA74" s="113"/>
    </row>
    <row r="75" spans="38:53" x14ac:dyDescent="0.2">
      <c r="AL75" s="112"/>
      <c r="AM75" s="113"/>
      <c r="AN75" s="113"/>
      <c r="AO75" s="113"/>
      <c r="AP75" s="113"/>
      <c r="AQ75" s="113"/>
      <c r="AS75" s="113"/>
      <c r="AT75" s="113"/>
      <c r="AU75" s="113"/>
      <c r="AV75" s="113"/>
      <c r="AX75" s="113"/>
      <c r="AY75" s="113"/>
      <c r="AZ75" s="113"/>
      <c r="BA75" s="113"/>
    </row>
    <row r="76" spans="38:53" x14ac:dyDescent="0.2">
      <c r="AL76" s="112"/>
      <c r="AM76" s="113"/>
      <c r="AN76" s="113"/>
      <c r="AO76" s="113"/>
      <c r="AP76" s="113"/>
      <c r="AQ76" s="113"/>
      <c r="AS76" s="113"/>
      <c r="AT76" s="113"/>
      <c r="AU76" s="113"/>
      <c r="AV76" s="113"/>
      <c r="AX76" s="113"/>
      <c r="AY76" s="113"/>
      <c r="AZ76" s="113"/>
      <c r="BA76" s="113"/>
    </row>
    <row r="77" spans="38:53" x14ac:dyDescent="0.2">
      <c r="AL77" s="112"/>
      <c r="AM77" s="113"/>
      <c r="AN77" s="113"/>
      <c r="AO77" s="113"/>
      <c r="AP77" s="113"/>
      <c r="AQ77" s="113"/>
      <c r="AS77" s="113"/>
      <c r="AT77" s="113"/>
      <c r="AU77" s="113"/>
      <c r="AV77" s="113"/>
      <c r="AX77" s="113"/>
      <c r="AY77" s="113"/>
      <c r="AZ77" s="113"/>
      <c r="BA77" s="113"/>
    </row>
    <row r="78" spans="38:53" x14ac:dyDescent="0.2">
      <c r="AL78" s="112"/>
      <c r="AM78" s="113"/>
      <c r="AN78" s="113"/>
      <c r="AO78" s="113"/>
      <c r="AP78" s="113"/>
      <c r="AQ78" s="113"/>
      <c r="AS78" s="113"/>
      <c r="AT78" s="113"/>
      <c r="AU78" s="113"/>
      <c r="AV78" s="113"/>
      <c r="AX78" s="113"/>
      <c r="AY78" s="113"/>
      <c r="AZ78" s="113"/>
      <c r="BA78" s="113"/>
    </row>
    <row r="79" spans="38:53" x14ac:dyDescent="0.2">
      <c r="AL79" s="112"/>
      <c r="AM79" s="113"/>
      <c r="AN79" s="113"/>
      <c r="AO79" s="113"/>
      <c r="AP79" s="113"/>
      <c r="AQ79" s="113"/>
      <c r="AS79" s="113"/>
      <c r="AT79" s="113"/>
      <c r="AU79" s="113"/>
      <c r="AV79" s="113"/>
      <c r="AX79" s="113"/>
      <c r="AY79" s="113"/>
      <c r="AZ79" s="113"/>
      <c r="BA79" s="113"/>
    </row>
    <row r="80" spans="38:53" x14ac:dyDescent="0.2">
      <c r="AL80" s="112"/>
      <c r="AM80" s="113"/>
      <c r="AN80" s="113"/>
      <c r="AO80" s="113"/>
      <c r="AP80" s="113"/>
      <c r="AQ80" s="113"/>
      <c r="AS80" s="113"/>
      <c r="AT80" s="113"/>
      <c r="AU80" s="113"/>
      <c r="AV80" s="113"/>
      <c r="AX80" s="113"/>
      <c r="AY80" s="113"/>
      <c r="AZ80" s="113"/>
      <c r="BA80" s="113"/>
    </row>
    <row r="81" spans="38:53" x14ac:dyDescent="0.2">
      <c r="AL81" s="112"/>
      <c r="AM81" s="113"/>
      <c r="AN81" s="113"/>
      <c r="AO81" s="113"/>
      <c r="AP81" s="113"/>
      <c r="AQ81" s="113"/>
      <c r="AS81" s="113"/>
      <c r="AT81" s="113"/>
      <c r="AU81" s="113"/>
      <c r="AV81" s="113"/>
      <c r="AX81" s="113"/>
      <c r="AY81" s="113"/>
      <c r="AZ81" s="113"/>
      <c r="BA81" s="113"/>
    </row>
    <row r="82" spans="38:53" x14ac:dyDescent="0.2">
      <c r="AL82" s="112"/>
      <c r="AM82" s="113"/>
      <c r="AN82" s="113"/>
      <c r="AO82" s="113"/>
      <c r="AP82" s="113"/>
      <c r="AQ82" s="113"/>
      <c r="AS82" s="113"/>
      <c r="AT82" s="113"/>
      <c r="AU82" s="113"/>
      <c r="AV82" s="113"/>
      <c r="AX82" s="113"/>
      <c r="AY82" s="113"/>
      <c r="AZ82" s="113"/>
      <c r="BA82" s="113"/>
    </row>
    <row r="83" spans="38:53" x14ac:dyDescent="0.2">
      <c r="AL83" s="112"/>
      <c r="AM83" s="113"/>
      <c r="AN83" s="113"/>
      <c r="AO83" s="113"/>
      <c r="AP83" s="113"/>
      <c r="AQ83" s="113"/>
      <c r="AS83" s="113"/>
      <c r="AT83" s="113"/>
      <c r="AU83" s="113"/>
      <c r="AV83" s="113"/>
      <c r="AX83" s="113"/>
      <c r="AY83" s="113"/>
      <c r="AZ83" s="113"/>
      <c r="BA83" s="113"/>
    </row>
    <row r="84" spans="38:53" x14ac:dyDescent="0.2">
      <c r="AL84" s="112"/>
      <c r="AM84" s="113"/>
      <c r="AN84" s="113"/>
      <c r="AO84" s="113"/>
      <c r="AP84" s="113"/>
      <c r="AQ84" s="113"/>
      <c r="AS84" s="113"/>
      <c r="AT84" s="113"/>
      <c r="AU84" s="113"/>
      <c r="AV84" s="113"/>
      <c r="AX84" s="113"/>
      <c r="AY84" s="113"/>
      <c r="AZ84" s="113"/>
      <c r="BA84" s="1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5</xdr:col>
                <xdr:colOff>85725</xdr:colOff>
                <xdr:row>0</xdr:row>
                <xdr:rowOff>57150</xdr:rowOff>
              </from>
              <to>
                <xdr:col>12</xdr:col>
                <xdr:colOff>171450</xdr:colOff>
                <xdr:row>2</xdr:row>
                <xdr:rowOff>114300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OptionButton1">
          <controlPr defaultSize="0" autoLine="0" r:id="rId7">
            <anchor moveWithCells="1">
              <from>
                <xdr:col>13</xdr:col>
                <xdr:colOff>104775</xdr:colOff>
                <xdr:row>0</xdr:row>
                <xdr:rowOff>133350</xdr:rowOff>
              </from>
              <to>
                <xdr:col>18</xdr:col>
                <xdr:colOff>38100</xdr:colOff>
                <xdr:row>2</xdr:row>
                <xdr:rowOff>66675</xdr:rowOff>
              </to>
            </anchor>
          </controlPr>
        </control>
      </mc:Choice>
      <mc:Fallback>
        <control shapeId="6146" r:id="rId6" name="OptionButton1"/>
      </mc:Fallback>
    </mc:AlternateContent>
    <mc:AlternateContent xmlns:mc="http://schemas.openxmlformats.org/markup-compatibility/2006">
      <mc:Choice Requires="x14">
        <control shapeId="6147" r:id="rId8" name="OptionButton2">
          <controlPr defaultSize="0" autoLine="0" r:id="rId9">
            <anchor moveWithCells="1">
              <from>
                <xdr:col>19</xdr:col>
                <xdr:colOff>9525</xdr:colOff>
                <xdr:row>0</xdr:row>
                <xdr:rowOff>133350</xdr:rowOff>
              </from>
              <to>
                <xdr:col>22</xdr:col>
                <xdr:colOff>228600</xdr:colOff>
                <xdr:row>2</xdr:row>
                <xdr:rowOff>66675</xdr:rowOff>
              </to>
            </anchor>
          </controlPr>
        </control>
      </mc:Choice>
      <mc:Fallback>
        <control shapeId="6147" r:id="rId8" name="Option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F44"/>
  <sheetViews>
    <sheetView showGridLines="0" tabSelected="1" workbookViewId="0">
      <selection activeCell="F37" sqref="F37"/>
    </sheetView>
  </sheetViews>
  <sheetFormatPr defaultRowHeight="12" x14ac:dyDescent="0.2"/>
  <cols>
    <col min="1" max="1" width="0.42578125" style="45" customWidth="1"/>
    <col min="2" max="2" width="25.28515625" style="45" customWidth="1"/>
    <col min="3" max="3" width="2.5703125" style="45" customWidth="1"/>
    <col min="4" max="5" width="9.140625" style="45"/>
    <col min="6" max="6" width="8.28515625" style="45" customWidth="1"/>
    <col min="7" max="7" width="1.5703125" style="45" customWidth="1"/>
    <col min="8" max="16384" width="9.140625" style="45"/>
  </cols>
  <sheetData>
    <row r="3" spans="2:6" x14ac:dyDescent="0.2">
      <c r="E3" s="164"/>
    </row>
    <row r="4" spans="2:6" x14ac:dyDescent="0.2">
      <c r="B4" s="163" t="s">
        <v>82</v>
      </c>
      <c r="C4" s="165"/>
      <c r="D4" s="166" t="s">
        <v>81</v>
      </c>
      <c r="E4" s="166" t="s">
        <v>80</v>
      </c>
      <c r="F4" s="218" t="s">
        <v>83</v>
      </c>
    </row>
    <row r="5" spans="2:6" ht="14.25" customHeight="1" x14ac:dyDescent="0.2">
      <c r="B5" s="167" t="s">
        <v>84</v>
      </c>
      <c r="C5" s="162" t="s">
        <v>85</v>
      </c>
      <c r="D5" s="291">
        <v>5800</v>
      </c>
      <c r="E5" s="291">
        <v>6000</v>
      </c>
      <c r="F5" s="219" t="s">
        <v>86</v>
      </c>
    </row>
    <row r="6" spans="2:6" ht="14.25" customHeight="1" x14ac:dyDescent="0.2">
      <c r="B6" s="168" t="s">
        <v>87</v>
      </c>
      <c r="C6" s="106" t="s">
        <v>85</v>
      </c>
      <c r="D6" s="292">
        <v>900</v>
      </c>
      <c r="E6" s="292">
        <v>1000</v>
      </c>
      <c r="F6" s="220" t="s">
        <v>86</v>
      </c>
    </row>
    <row r="7" spans="2:6" ht="14.25" customHeight="1" x14ac:dyDescent="0.2">
      <c r="B7" s="168" t="s">
        <v>88</v>
      </c>
      <c r="C7" s="106" t="s">
        <v>85</v>
      </c>
      <c r="D7" s="293">
        <v>0.7</v>
      </c>
      <c r="E7" s="293">
        <v>0.7</v>
      </c>
      <c r="F7" s="220" t="s">
        <v>89</v>
      </c>
    </row>
    <row r="8" spans="2:6" ht="14.25" customHeight="1" x14ac:dyDescent="0.2">
      <c r="B8" s="168" t="s">
        <v>90</v>
      </c>
      <c r="C8" s="106" t="s">
        <v>85</v>
      </c>
      <c r="D8" s="293">
        <v>0.12</v>
      </c>
      <c r="E8" s="293">
        <v>0.12</v>
      </c>
      <c r="F8" s="220" t="s">
        <v>89</v>
      </c>
    </row>
    <row r="9" spans="2:6" ht="14.25" customHeight="1" x14ac:dyDescent="0.2">
      <c r="B9" s="288" t="s">
        <v>91</v>
      </c>
      <c r="C9" s="289" t="s">
        <v>85</v>
      </c>
      <c r="D9" s="294">
        <v>90</v>
      </c>
      <c r="E9" s="294">
        <v>90</v>
      </c>
      <c r="F9" s="290" t="s">
        <v>30</v>
      </c>
    </row>
    <row r="10" spans="2:6" ht="14.25" customHeight="1" x14ac:dyDescent="0.2">
      <c r="B10" s="169"/>
      <c r="C10" s="170" t="s">
        <v>85</v>
      </c>
      <c r="D10" s="171">
        <f>+(D9-32)*5/9</f>
        <v>32.222222222222221</v>
      </c>
      <c r="E10" s="171">
        <f>+(E9-32)*5/9</f>
        <v>32.222222222222221</v>
      </c>
      <c r="F10" s="222" t="s">
        <v>92</v>
      </c>
    </row>
    <row r="11" spans="2:6" ht="14.25" customHeight="1" x14ac:dyDescent="0.2">
      <c r="B11" s="168" t="s">
        <v>93</v>
      </c>
      <c r="C11" s="106" t="s">
        <v>85</v>
      </c>
      <c r="D11" s="295">
        <v>1.05</v>
      </c>
      <c r="E11" s="295">
        <v>1.05</v>
      </c>
      <c r="F11" s="221" t="s">
        <v>94</v>
      </c>
    </row>
    <row r="12" spans="2:6" ht="14.25" customHeight="1" x14ac:dyDescent="0.2">
      <c r="B12" s="169"/>
      <c r="C12" s="170" t="s">
        <v>85</v>
      </c>
      <c r="D12" s="171">
        <f>+(((D11*100)-32)*5/9)/(0.3048*100)</f>
        <v>1.3305628463108778</v>
      </c>
      <c r="E12" s="171">
        <f>+(((E11*100)-32)*5/9)/(0.3048*100)</f>
        <v>1.3305628463108778</v>
      </c>
      <c r="F12" s="222" t="s">
        <v>95</v>
      </c>
    </row>
    <row r="13" spans="2:6" x14ac:dyDescent="0.2">
      <c r="D13" s="107"/>
      <c r="E13" s="107"/>
      <c r="F13" s="103"/>
    </row>
    <row r="14" spans="2:6" x14ac:dyDescent="0.2">
      <c r="D14" s="107"/>
      <c r="E14" s="107"/>
      <c r="F14" s="103"/>
    </row>
    <row r="15" spans="2:6" x14ac:dyDescent="0.2">
      <c r="B15" s="163" t="s">
        <v>96</v>
      </c>
      <c r="C15" s="165"/>
      <c r="D15" s="166" t="s">
        <v>81</v>
      </c>
      <c r="E15" s="166" t="s">
        <v>80</v>
      </c>
      <c r="F15" s="218" t="s">
        <v>83</v>
      </c>
    </row>
    <row r="16" spans="2:6" x14ac:dyDescent="0.2">
      <c r="B16" s="172" t="s">
        <v>97</v>
      </c>
      <c r="C16" s="162" t="s">
        <v>85</v>
      </c>
      <c r="D16" s="173">
        <f>+D5+D6</f>
        <v>6700</v>
      </c>
      <c r="E16" s="173">
        <f>+E5+E6</f>
        <v>7000</v>
      </c>
      <c r="F16" s="223" t="s">
        <v>86</v>
      </c>
    </row>
    <row r="17" spans="2:6" x14ac:dyDescent="0.2">
      <c r="B17" s="174" t="s">
        <v>98</v>
      </c>
      <c r="C17" s="106" t="s">
        <v>85</v>
      </c>
      <c r="D17" s="175">
        <f>14.7+(D16*$D$7/0.3048)</f>
        <v>15401.839107611548</v>
      </c>
      <c r="E17" s="175">
        <f>14.7+(E16*$E$7/0.3048)</f>
        <v>16090.815485564304</v>
      </c>
      <c r="F17" s="224" t="s">
        <v>31</v>
      </c>
    </row>
    <row r="18" spans="2:6" x14ac:dyDescent="0.2">
      <c r="B18" s="174" t="s">
        <v>99</v>
      </c>
      <c r="C18" s="106" t="s">
        <v>85</v>
      </c>
      <c r="D18" s="175">
        <f>+D17-$D$8*(D16-D5)/0.3048</f>
        <v>15047.508398950131</v>
      </c>
      <c r="E18" s="175">
        <f>+E17-$E$8*(E16-E5)/0.3048</f>
        <v>15697.11469816273</v>
      </c>
      <c r="F18" s="224" t="s">
        <v>31</v>
      </c>
    </row>
    <row r="19" spans="2:6" x14ac:dyDescent="0.2">
      <c r="B19" s="193" t="s">
        <v>100</v>
      </c>
      <c r="C19" s="194" t="s">
        <v>85</v>
      </c>
      <c r="D19" s="195">
        <f>+(D18+D17)/2</f>
        <v>15224.67375328084</v>
      </c>
      <c r="E19" s="195">
        <f>+(E18+E17)/2</f>
        <v>15893.965091863516</v>
      </c>
      <c r="F19" s="225" t="s">
        <v>31</v>
      </c>
    </row>
    <row r="20" spans="2:6" x14ac:dyDescent="0.2">
      <c r="B20" s="176" t="s">
        <v>102</v>
      </c>
      <c r="C20" s="177" t="s">
        <v>85</v>
      </c>
      <c r="D20" s="178">
        <f>+D9+(D16/0.3048)*(D11/100)</f>
        <v>320.80708661417322</v>
      </c>
      <c r="E20" s="178">
        <f>+E9+(E16/0.3048)*(E11/100)</f>
        <v>331.14173228346453</v>
      </c>
      <c r="F20" s="226" t="s">
        <v>30</v>
      </c>
    </row>
    <row r="21" spans="2:6" x14ac:dyDescent="0.2">
      <c r="B21" s="179" t="s">
        <v>103</v>
      </c>
      <c r="C21" s="106" t="s">
        <v>85</v>
      </c>
      <c r="D21" s="175">
        <f>+D9+(D5/0.3048)*(D11/100)</f>
        <v>289.8031496062992</v>
      </c>
      <c r="E21" s="175">
        <f>+E9+(E5/0.3048)*(E11/100)</f>
        <v>296.69291338582678</v>
      </c>
      <c r="F21" s="227" t="s">
        <v>30</v>
      </c>
    </row>
    <row r="22" spans="2:6" x14ac:dyDescent="0.2">
      <c r="B22" s="187" t="s">
        <v>104</v>
      </c>
      <c r="C22" s="188" t="s">
        <v>85</v>
      </c>
      <c r="D22" s="189">
        <f>+(D21+D20)/2</f>
        <v>305.30511811023621</v>
      </c>
      <c r="E22" s="189">
        <f>+(E21+E20)/2</f>
        <v>313.91732283464569</v>
      </c>
      <c r="F22" s="227" t="s">
        <v>30</v>
      </c>
    </row>
    <row r="23" spans="2:6" x14ac:dyDescent="0.2">
      <c r="B23" s="190" t="s">
        <v>104</v>
      </c>
      <c r="C23" s="191" t="s">
        <v>85</v>
      </c>
      <c r="D23" s="192">
        <f>+(D22-32)*5/9</f>
        <v>151.83617672790899</v>
      </c>
      <c r="E23" s="192">
        <f>+(E22-32)*5/9</f>
        <v>156.62073490813651</v>
      </c>
      <c r="F23" s="228" t="s">
        <v>92</v>
      </c>
    </row>
    <row r="24" spans="2:6" x14ac:dyDescent="0.2">
      <c r="B24" s="196" t="s">
        <v>64</v>
      </c>
      <c r="C24" s="197" t="s">
        <v>85</v>
      </c>
      <c r="D24" s="215">
        <f>+Composition!T14</f>
        <v>374.3370703940347</v>
      </c>
      <c r="E24" s="215">
        <f>+D24</f>
        <v>374.3370703940347</v>
      </c>
      <c r="F24" s="229" t="s">
        <v>68</v>
      </c>
    </row>
    <row r="25" spans="2:6" x14ac:dyDescent="0.2">
      <c r="B25" s="216" t="s">
        <v>109</v>
      </c>
      <c r="C25" s="180" t="s">
        <v>85</v>
      </c>
      <c r="D25" s="217">
        <f>+(D22+460)/D24</f>
        <v>2.0444278128924305</v>
      </c>
      <c r="E25" s="217">
        <f>+(E22+460)/E24</f>
        <v>2.0674343634201251</v>
      </c>
      <c r="F25" s="230"/>
    </row>
    <row r="26" spans="2:6" ht="19.5" customHeight="1" x14ac:dyDescent="0.2">
      <c r="B26" s="201" t="s">
        <v>101</v>
      </c>
      <c r="C26" s="198" t="s">
        <v>85</v>
      </c>
      <c r="D26" s="285">
        <f>Factor_z_EOS(D19,D22)</f>
        <v>1.6088199999999999</v>
      </c>
      <c r="E26" s="285">
        <f>Factor_z_EOS(E19,E22)</f>
        <v>1.6436599999999999</v>
      </c>
      <c r="F26" s="231"/>
    </row>
    <row r="27" spans="2:6" ht="19.5" customHeight="1" x14ac:dyDescent="0.2">
      <c r="B27" s="202" t="s">
        <v>105</v>
      </c>
      <c r="C27" s="199" t="s">
        <v>85</v>
      </c>
      <c r="D27" s="286">
        <f>Bg_EOS(D26,D22,D19)</f>
        <v>2.2886559713526733E-3</v>
      </c>
      <c r="E27" s="286">
        <f>Bg_EOS(E26,E22,E19)</f>
        <v>2.2649610331845356E-3</v>
      </c>
      <c r="F27" s="232" t="s">
        <v>61</v>
      </c>
    </row>
    <row r="28" spans="2:6" ht="19.5" customHeight="1" x14ac:dyDescent="0.2">
      <c r="B28" s="203" t="s">
        <v>106</v>
      </c>
      <c r="C28" s="200" t="s">
        <v>85</v>
      </c>
      <c r="D28" s="287">
        <f>1/D27</f>
        <v>436.93766669918767</v>
      </c>
      <c r="E28" s="287">
        <f>1/E27</f>
        <v>441.50869942075769</v>
      </c>
      <c r="F28" s="233" t="s">
        <v>107</v>
      </c>
    </row>
    <row r="29" spans="2:6" x14ac:dyDescent="0.2">
      <c r="F29" s="103"/>
    </row>
    <row r="30" spans="2:6" x14ac:dyDescent="0.2">
      <c r="F30" s="103"/>
    </row>
    <row r="31" spans="2:6" x14ac:dyDescent="0.2">
      <c r="F31" s="103"/>
    </row>
    <row r="32" spans="2:6" x14ac:dyDescent="0.2">
      <c r="F32" s="103"/>
    </row>
    <row r="33" spans="4:6" x14ac:dyDescent="0.2">
      <c r="F33" s="103"/>
    </row>
    <row r="34" spans="4:6" x14ac:dyDescent="0.2">
      <c r="E34" s="205"/>
      <c r="F34" s="234"/>
    </row>
    <row r="35" spans="4:6" x14ac:dyDescent="0.2">
      <c r="D35" s="204"/>
      <c r="E35" s="205"/>
      <c r="F35" s="234"/>
    </row>
    <row r="36" spans="4:6" x14ac:dyDescent="0.2">
      <c r="D36" s="204"/>
      <c r="F36" s="103"/>
    </row>
    <row r="37" spans="4:6" x14ac:dyDescent="0.2">
      <c r="F37" s="103"/>
    </row>
    <row r="38" spans="4:6" x14ac:dyDescent="0.2">
      <c r="F38" s="103"/>
    </row>
    <row r="39" spans="4:6" x14ac:dyDescent="0.2">
      <c r="F39" s="103"/>
    </row>
    <row r="40" spans="4:6" x14ac:dyDescent="0.2">
      <c r="F40" s="103"/>
    </row>
    <row r="41" spans="4:6" x14ac:dyDescent="0.2">
      <c r="F41" s="103"/>
    </row>
    <row r="42" spans="4:6" x14ac:dyDescent="0.2">
      <c r="F42" s="103"/>
    </row>
    <row r="43" spans="4:6" x14ac:dyDescent="0.2">
      <c r="F43" s="103"/>
    </row>
    <row r="44" spans="4:6" x14ac:dyDescent="0.2">
      <c r="F44" s="103"/>
    </row>
  </sheetData>
  <pageMargins left="0.7" right="0.7" top="0.75" bottom="0.75" header="0.3" footer="0.3"/>
  <pageSetup orientation="portrait" horizontalDpi="1200" verticalDpi="1200" r:id="rId1"/>
  <drawing r:id="rId2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f34798a7-f31f-4578-9f63-b9f67aac9770.png"/><Relationship Id="backsetup" Type="http://schemas.openxmlformats.org/officeDocument/2006/relationships/image" Target="images/79fed974-598d-4b6c-a278-ae57f281a767.png"/><Relationship Id="Logo" Type="http://schemas.openxmlformats.org/officeDocument/2006/relationships/image" Target="images/48f44c93-08a4-4f92-8b1e-6825a2e91df5.png"/><Relationship Id="calc_EOS" Type="http://schemas.openxmlformats.org/officeDocument/2006/relationships/image" Target="images/570751b6-eb3f-4808-9930-74256a6770bb.png"/><Relationship Id="tutorial" Type="http://schemas.openxmlformats.org/officeDocument/2006/relationships/image" Target="images/f749a7ab-4b5d-4230-a1d6-81c0a3473eec.png"/><Relationship Id="suma" Type="http://schemas.openxmlformats.org/officeDocument/2006/relationships/image" Target="images/773ad9cc-2a1a-49ea-865f-38505637aa61.png"/><Relationship Id="abc" Type="http://schemas.openxmlformats.org/officeDocument/2006/relationships/image" Target="images/73e9d04f-4e69-45e1-bb93-3e291c72170b.png"/></Relationships>
</file>

<file path=customUI/customUI14.xml><?xml version="1.0" encoding="utf-8"?>
<customUI xmlns="http://schemas.microsoft.com/office/2009/07/customui" onLoad="RibbonOnLoad">
  <ribbon startFromScratch="false">
    <tabs>
      <tab id="ID_PVT_Workbook" label="Fluid Properties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Calc_Properties_EOS_Peng_Robinson" label="Gas Properties">
          <button id="ID_Calculate_pseudo_critial_properties" label="Calculate PseudoCritial Prop." image="suma" size="large" screentip="Franco Help" supertip="Calculate pseudo-critial properties based on gas composition." onAction="OnAc_Calculate_pseudo_critial_properties"/>
          <separator id="separator_1"/>
          <button id="ID_Calculate_properties_EOS_Peng_Robinson" label="Calculate Gas Prop." image="calc_EOS" size="large" screentip="Franco Help" supertip="Calculate gas properties using Peng-Robinson EOS." onAction="OnAc_Calculate_properties_EOS_Peng_Robinson"/>
          <separator id="separator_2"/>
          <button id="ID_Youtube_Tutorial" label="YouTube Tutorial" image="tutorial" size="large" screentip="Franco Help" supertip="Opens YouTube to show Tutorial for Workbook." onAction="OnAc_Youtube_Tutori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To</vt:lpstr>
      <vt:lpstr>Composition</vt:lpstr>
      <vt:lpstr>Gas Properties PR EOS</vt:lpstr>
      <vt:lpstr>Reservoir Properties</vt:lpstr>
      <vt:lpstr>Reservoir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Administrator</cp:lastModifiedBy>
  <dcterms:created xsi:type="dcterms:W3CDTF">2020-06-22T20:24:59Z</dcterms:created>
  <dcterms:modified xsi:type="dcterms:W3CDTF">2023-03-07T16:07:24Z</dcterms:modified>
</cp:coreProperties>
</file>