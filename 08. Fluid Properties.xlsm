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881204a-b756-4133-889e-146bd69134d1.png" ContentType="image/.png"/>
  <Override PartName="/customUI/images/8613696f-0aea-43cb-9e46-e8141dbb2937.png" ContentType="image/.png"/>
  <Override PartName="/customUI/images/6201f5ec-0f2b-4b1b-828a-b4ee2e7106b7.png" ContentType="image/.png"/>
  <Override PartName="/customUI/images/603ba91e-e696-423d-8871-d77eb28b28dc.png" ContentType="image/.png"/>
  <Override PartName="/customUI/images/04301315-b15b-4cb6-9962-73569268c687.png" ContentType="image/.png"/>
  <Override PartName="/customUI/images/811028be-9b27-457d-b248-830c8a924d27.png" ContentType="image/.png"/>
</Types>
</file>

<file path=_rels/.rels><?xml version="1.0" encoding="UTF-8" standalone="yes"?>
<Relationships xmlns="http://schemas.openxmlformats.org/package/2006/relationships"><Relationship Id="R45336d09036a4eb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T:\Franco Ing\VBA files FF\Fluid Properties\"/>
    </mc:Choice>
  </mc:AlternateContent>
  <bookViews>
    <workbookView xWindow="0" yWindow="0" windowWidth="23040" windowHeight="8844" activeTab="4"/>
  </bookViews>
  <sheets>
    <sheet name="Ppc-Tpc Prop Comp." sheetId="1" r:id="rId1"/>
    <sheet name="Gas Properties" sheetId="4" r:id="rId2"/>
    <sheet name="Plots" sheetId="6" r:id="rId3"/>
    <sheet name="Ppc-Tpc Prop from SGg" sheetId="7" r:id="rId4"/>
    <sheet name="Factor-z EOS PR 1976" sheetId="5" r:id="rId5"/>
  </sheets>
  <functionGroups builtInGroupCount="18"/>
  <definedNames>
    <definedName name="AOF">#REF!</definedName>
  </definedNames>
  <calcPr calcId="152511"/>
</workbook>
</file>

<file path=xl/calcChain.xml><?xml version="1.0" encoding="utf-8"?>
<calcChain xmlns="http://schemas.openxmlformats.org/spreadsheetml/2006/main">
  <c r="C30" i="7" l="1"/>
  <c r="C29" i="7"/>
  <c r="C31" i="7" s="1"/>
  <c r="AC15" i="7"/>
  <c r="AG12" i="7"/>
  <c r="AD13" i="7"/>
  <c r="AM15" i="7"/>
  <c r="AJ16" i="7"/>
  <c r="AL17" i="7"/>
  <c r="AE20" i="7"/>
  <c r="AC10" i="7"/>
  <c r="AK18" i="7"/>
  <c r="AM10" i="7"/>
  <c r="AK19" i="7"/>
  <c r="AH20" i="7"/>
  <c r="AE15" i="7"/>
  <c r="AL19" i="7"/>
  <c r="AH15" i="7"/>
  <c r="AM18" i="7"/>
  <c r="C10" i="7"/>
  <c r="G9" i="7"/>
  <c r="AB14" i="7"/>
  <c r="AF19" i="7"/>
  <c r="AC20" i="7"/>
  <c r="AM11" i="7"/>
  <c r="AJ12" i="7"/>
  <c r="AJ15" i="7"/>
  <c r="AE16" i="7"/>
  <c r="AB17" i="7"/>
  <c r="AJ17" i="7"/>
  <c r="AK12" i="7"/>
  <c r="AK15" i="7"/>
  <c r="AH16" i="7"/>
  <c r="AD18" i="7"/>
  <c r="AL15" i="7"/>
  <c r="AI15" i="7"/>
  <c r="AL13" i="7"/>
  <c r="G10" i="7"/>
  <c r="G15" i="7"/>
  <c r="AM20" i="7"/>
  <c r="AM14" i="7"/>
  <c r="AF15" i="7"/>
  <c r="AC16" i="7"/>
  <c r="AL18" i="7"/>
  <c r="AI19" i="7"/>
  <c r="AH13" i="7"/>
  <c r="AE12" i="7"/>
  <c r="AB13" i="7"/>
  <c r="AI12" i="7"/>
  <c r="AI14" i="7"/>
  <c r="AK11" i="7"/>
  <c r="AH12" i="7"/>
  <c r="AD14" i="7"/>
  <c r="AL11" i="7"/>
  <c r="AH14" i="7"/>
  <c r="AK20" i="7"/>
  <c r="C9" i="7"/>
  <c r="AI20" i="7"/>
  <c r="AK16" i="7"/>
  <c r="AF11" i="7"/>
  <c r="AC12" i="7"/>
  <c r="AL14" i="7"/>
  <c r="AI11" i="7"/>
  <c r="AG18" i="7"/>
  <c r="AD19" i="7"/>
  <c r="AF16" i="7"/>
  <c r="AH11" i="7"/>
  <c r="AM17" i="7"/>
  <c r="AJ18" i="7"/>
  <c r="AG17" i="7"/>
  <c r="AC17" i="7"/>
  <c r="AK14" i="7"/>
  <c r="AG19" i="7"/>
  <c r="AJ19" i="7"/>
  <c r="C21" i="7"/>
  <c r="C15" i="7"/>
  <c r="AH18" i="7"/>
  <c r="AJ11" i="7"/>
  <c r="AE18" i="7"/>
  <c r="AB19" i="7"/>
  <c r="AL10" i="7"/>
  <c r="AG11" i="7"/>
  <c r="AG14" i="7"/>
  <c r="AD15" i="7"/>
  <c r="AE11" i="7"/>
  <c r="AH10" i="7"/>
  <c r="AM13" i="7"/>
  <c r="AJ14" i="7"/>
  <c r="AG13" i="7"/>
  <c r="AC13" i="7"/>
  <c r="AK10" i="7"/>
  <c r="AF14" i="7"/>
  <c r="AI18" i="7"/>
  <c r="G16" i="7"/>
  <c r="AG15" i="7"/>
  <c r="AI10" i="7"/>
  <c r="AE14" i="7"/>
  <c r="AB15" i="7"/>
  <c r="AK17" i="7"/>
  <c r="AF10" i="7"/>
  <c r="AG10" i="7"/>
  <c r="AD11" i="7"/>
  <c r="AD10" i="7"/>
  <c r="AF18" i="7"/>
  <c r="AL20" i="7"/>
  <c r="AJ10" i="7"/>
  <c r="AF20" i="7"/>
  <c r="AB16" i="7"/>
  <c r="AJ13" i="7"/>
  <c r="AE13" i="7"/>
  <c r="AH17" i="7"/>
  <c r="C16" i="7"/>
  <c r="AE17" i="7"/>
  <c r="AG20" i="7"/>
  <c r="AE10" i="7"/>
  <c r="AB11" i="7"/>
  <c r="AK13" i="7"/>
  <c r="AC19" i="7"/>
  <c r="AF17" i="7"/>
  <c r="AC18" i="7"/>
  <c r="AB20" i="7"/>
  <c r="AD20" i="7"/>
  <c r="AL16" i="7"/>
  <c r="AI17" i="7"/>
  <c r="AF12" i="7"/>
  <c r="AB12" i="7"/>
  <c r="AI16" i="7"/>
  <c r="AD12" i="7"/>
  <c r="C22" i="7"/>
  <c r="G22" i="7"/>
  <c r="AD16" i="7"/>
  <c r="AG16" i="7"/>
  <c r="AD17" i="7"/>
  <c r="AM19" i="7"/>
  <c r="AJ20" i="7"/>
  <c r="AB10" i="7"/>
  <c r="AF13" i="7"/>
  <c r="AC14" i="7"/>
  <c r="AM16" i="7"/>
  <c r="AB18" i="7"/>
  <c r="AL12" i="7"/>
  <c r="AI13" i="7"/>
  <c r="AE19" i="7"/>
  <c r="AM12" i="7"/>
  <c r="AH19" i="7"/>
  <c r="AC11" i="7"/>
  <c r="G21" i="7"/>
  <c r="AH32" i="7" l="1"/>
  <c r="AB32" i="7" s="1"/>
  <c r="AI33" i="7"/>
  <c r="AC33" i="7" s="1"/>
  <c r="AJ34" i="7"/>
  <c r="AK35" i="7"/>
  <c r="AL28" i="7"/>
  <c r="AF28" i="7" s="1"/>
  <c r="AM33" i="7"/>
  <c r="AG33" i="7" s="1"/>
  <c r="AD27" i="7"/>
  <c r="AE28" i="7"/>
  <c r="AH29" i="7"/>
  <c r="AB29" i="7" s="1"/>
  <c r="AI30" i="7"/>
  <c r="AC30" i="7" s="1"/>
  <c r="AH30" i="7"/>
  <c r="AB30" i="7" s="1"/>
  <c r="AH34" i="7"/>
  <c r="AB34" i="7" s="1"/>
  <c r="AI31" i="7"/>
  <c r="AC31" i="7" s="1"/>
  <c r="AJ28" i="7"/>
  <c r="AK25" i="7"/>
  <c r="AK29" i="7"/>
  <c r="AL26" i="7"/>
  <c r="AF26" i="7" s="1"/>
  <c r="AL30" i="7"/>
  <c r="AF30" i="7" s="1"/>
  <c r="AL34" i="7"/>
  <c r="AF34" i="7" s="1"/>
  <c r="AM27" i="7"/>
  <c r="AG27" i="7" s="1"/>
  <c r="AD29" i="7"/>
  <c r="AD33" i="7"/>
  <c r="AE30" i="7"/>
  <c r="AE34" i="7"/>
  <c r="AH27" i="7"/>
  <c r="AB27" i="7" s="1"/>
  <c r="AH31" i="7"/>
  <c r="AB31" i="7" s="1"/>
  <c r="AH35" i="7"/>
  <c r="AB35" i="7" s="1"/>
  <c r="AI28" i="7"/>
  <c r="AC28" i="7" s="1"/>
  <c r="AI32" i="7"/>
  <c r="AC32" i="7" s="1"/>
  <c r="AJ25" i="7"/>
  <c r="AJ29" i="7"/>
  <c r="AJ33" i="7"/>
  <c r="AK26" i="7"/>
  <c r="AK30" i="7"/>
  <c r="AK34" i="7"/>
  <c r="AL27" i="7"/>
  <c r="AF27" i="7" s="1"/>
  <c r="AL31" i="7"/>
  <c r="AF31" i="7" s="1"/>
  <c r="AL35" i="7"/>
  <c r="AF35" i="7" s="1"/>
  <c r="AM28" i="7"/>
  <c r="AG28" i="7" s="1"/>
  <c r="AM32" i="7"/>
  <c r="AG32" i="7" s="1"/>
  <c r="AI29" i="7"/>
  <c r="AC29" i="7" s="1"/>
  <c r="AK27" i="7"/>
  <c r="AM25" i="7"/>
  <c r="AG25" i="7" s="1"/>
  <c r="AD35" i="7"/>
  <c r="AH25" i="7"/>
  <c r="AB25" i="7" s="1"/>
  <c r="AH26" i="7"/>
  <c r="AB26" i="7" s="1"/>
  <c r="AI27" i="7"/>
  <c r="AC27" i="7" s="1"/>
  <c r="AJ32" i="7"/>
  <c r="AK33" i="7"/>
  <c r="AM31" i="7"/>
  <c r="AG31" i="7" s="1"/>
  <c r="AD25" i="7"/>
  <c r="AE26" i="7"/>
  <c r="AD26" i="7"/>
  <c r="AD30" i="7"/>
  <c r="AD34" i="7"/>
  <c r="AE27" i="7"/>
  <c r="AE31" i="7"/>
  <c r="AE35" i="7"/>
  <c r="AH28" i="7"/>
  <c r="AB28" i="7" s="1"/>
  <c r="AJ30" i="7"/>
  <c r="AL32" i="7"/>
  <c r="AF32" i="7" s="1"/>
  <c r="AI26" i="7"/>
  <c r="AC26" i="7" s="1"/>
  <c r="AI34" i="7"/>
  <c r="AC34" i="7" s="1"/>
  <c r="AJ27" i="7"/>
  <c r="AJ31" i="7"/>
  <c r="AJ35" i="7"/>
  <c r="AK28" i="7"/>
  <c r="AK32" i="7"/>
  <c r="AL25" i="7"/>
  <c r="AF25" i="7" s="1"/>
  <c r="AL29" i="7"/>
  <c r="AF29" i="7" s="1"/>
  <c r="AL33" i="7"/>
  <c r="AF33" i="7" s="1"/>
  <c r="AM26" i="7"/>
  <c r="AG26" i="7" s="1"/>
  <c r="AM30" i="7"/>
  <c r="AG30" i="7" s="1"/>
  <c r="AM34" i="7"/>
  <c r="AG34" i="7" s="1"/>
  <c r="AD28" i="7"/>
  <c r="AD32" i="7"/>
  <c r="AE25" i="7"/>
  <c r="AE29" i="7"/>
  <c r="AE33" i="7"/>
  <c r="AI25" i="7"/>
  <c r="AC25" i="7" s="1"/>
  <c r="AJ26" i="7"/>
  <c r="AK31" i="7"/>
  <c r="AM29" i="7"/>
  <c r="AG29" i="7" s="1"/>
  <c r="AD31" i="7"/>
  <c r="AE32" i="7"/>
  <c r="AH33" i="7"/>
  <c r="AB33" i="7" s="1"/>
  <c r="AI35" i="7"/>
  <c r="AC35" i="7" s="1"/>
  <c r="AM35" i="7"/>
  <c r="AG35" i="7" s="1"/>
  <c r="C12" i="7"/>
  <c r="C18" i="7"/>
  <c r="C17" i="7" s="1"/>
  <c r="G18" i="7"/>
  <c r="G17" i="7" s="1"/>
  <c r="G12" i="7"/>
  <c r="G11" i="7" s="1"/>
  <c r="T6" i="1"/>
  <c r="T9" i="1" s="1"/>
  <c r="T5" i="1"/>
  <c r="T7" i="1" l="1"/>
  <c r="T11" i="1" s="1"/>
  <c r="C11" i="7"/>
  <c r="P17" i="1"/>
  <c r="P14" i="1"/>
  <c r="P11" i="1"/>
  <c r="T13" i="1" s="1"/>
  <c r="P5" i="1"/>
  <c r="E30" i="6"/>
  <c r="E29" i="6"/>
  <c r="E26" i="6"/>
  <c r="E28" i="6"/>
  <c r="E27" i="6"/>
  <c r="T14" i="1" l="1"/>
  <c r="T17" i="1" s="1"/>
  <c r="P8" i="1"/>
  <c r="D21" i="1"/>
  <c r="D29" i="6"/>
  <c r="D28" i="6"/>
  <c r="D18" i="6"/>
  <c r="D25" i="6"/>
  <c r="D26" i="6"/>
  <c r="G29" i="6"/>
  <c r="G28" i="6"/>
  <c r="G18" i="6"/>
  <c r="D17" i="6"/>
  <c r="D12" i="6"/>
  <c r="F29" i="6"/>
  <c r="F28" i="6"/>
  <c r="F18" i="6"/>
  <c r="D13" i="6"/>
  <c r="G13" i="6" s="1"/>
  <c r="D30" i="6"/>
  <c r="G30" i="6" s="1"/>
  <c r="F25" i="6"/>
  <c r="F26" i="6"/>
  <c r="D24" i="6"/>
  <c r="D14" i="6"/>
  <c r="D23" i="6"/>
  <c r="G25" i="6"/>
  <c r="G26" i="6"/>
  <c r="D27" i="6"/>
  <c r="D22" i="6"/>
  <c r="D15" i="6"/>
  <c r="F17" i="6"/>
  <c r="G12" i="6"/>
  <c r="D11" i="6"/>
  <c r="G11" i="6" s="1"/>
  <c r="D21" i="6"/>
  <c r="F21" i="6" s="1"/>
  <c r="D10" i="6"/>
  <c r="G10" i="6" s="1"/>
  <c r="F11" i="6"/>
  <c r="G17" i="6"/>
  <c r="G21" i="6"/>
  <c r="F12" i="6"/>
  <c r="F10" i="6"/>
  <c r="D19" i="6"/>
  <c r="G19" i="6" s="1"/>
  <c r="D16" i="6"/>
  <c r="F16" i="6" s="1"/>
  <c r="D20" i="6"/>
  <c r="F20" i="6" s="1"/>
  <c r="F19" i="6"/>
  <c r="F13" i="6"/>
  <c r="G16" i="6"/>
  <c r="F30" i="6"/>
  <c r="G20" i="6"/>
  <c r="F24" i="6"/>
  <c r="G24" i="6"/>
  <c r="F14" i="6"/>
  <c r="G14" i="6"/>
  <c r="F23" i="6"/>
  <c r="G23" i="6"/>
  <c r="F27" i="6"/>
  <c r="G27" i="6"/>
  <c r="F22" i="6"/>
  <c r="G22" i="6"/>
  <c r="F15" i="6"/>
  <c r="G15" i="6"/>
  <c r="E14" i="6" l="1"/>
  <c r="E11" i="6"/>
  <c r="E24" i="6"/>
  <c r="E12" i="6"/>
  <c r="E20" i="6"/>
  <c r="E25" i="6"/>
  <c r="E16" i="6"/>
  <c r="E13" i="6"/>
  <c r="E19" i="6"/>
  <c r="E18" i="6"/>
  <c r="E15" i="6"/>
  <c r="E21" i="6"/>
  <c r="E22" i="6"/>
  <c r="E17" i="6"/>
  <c r="E23" i="6"/>
  <c r="E10" i="6"/>
</calcChain>
</file>

<file path=xl/comments1.xml><?xml version="1.0" encoding="utf-8"?>
<comments xmlns="http://schemas.openxmlformats.org/spreadsheetml/2006/main">
  <authors>
    <author>Franco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Franco:</t>
        </r>
        <r>
          <rPr>
            <sz val="9"/>
            <color indexed="81"/>
            <rFont val="Tahoma"/>
            <family val="2"/>
          </rPr>
          <t xml:space="preserve">
Pitzer  Accentric  Factor:    This  factor  (symbol ω),  is  a  parameter  used  in non-ideal equations of state that takes into account the geometry and polarity of a molecule</t>
        </r>
      </text>
    </comment>
  </commentList>
</comments>
</file>

<file path=xl/sharedStrings.xml><?xml version="1.0" encoding="utf-8"?>
<sst xmlns="http://schemas.openxmlformats.org/spreadsheetml/2006/main" count="273" uniqueCount="108">
  <si>
    <t>Component</t>
  </si>
  <si>
    <t>Formula</t>
  </si>
  <si>
    <t>CARBON DIOXIDE</t>
  </si>
  <si>
    <t>HYDROGEN SULFIDE</t>
  </si>
  <si>
    <t>NITROGEN</t>
  </si>
  <si>
    <t>METHANE</t>
  </si>
  <si>
    <r>
      <t>CH</t>
    </r>
    <r>
      <rPr>
        <vertAlign val="subscript"/>
        <sz val="9"/>
        <color theme="1"/>
        <rFont val="Calibri"/>
        <family val="2"/>
      </rPr>
      <t>4</t>
    </r>
  </si>
  <si>
    <t>ETHANE</t>
  </si>
  <si>
    <r>
      <t>C</t>
    </r>
    <r>
      <rPr>
        <vertAlign val="subscript"/>
        <sz val="9"/>
        <color theme="1"/>
        <rFont val="Calibri"/>
        <family val="2"/>
      </rPr>
      <t>2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6</t>
    </r>
  </si>
  <si>
    <t>PROPANE</t>
  </si>
  <si>
    <r>
      <t>C</t>
    </r>
    <r>
      <rPr>
        <vertAlign val="subscript"/>
        <sz val="9"/>
        <color theme="1"/>
        <rFont val="Calibri"/>
        <family val="2"/>
      </rPr>
      <t>3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8</t>
    </r>
  </si>
  <si>
    <t>N-BUTANE</t>
  </si>
  <si>
    <r>
      <t>C</t>
    </r>
    <r>
      <rPr>
        <vertAlign val="subscript"/>
        <sz val="9"/>
        <color theme="1"/>
        <rFont val="Calibri"/>
        <family val="2"/>
      </rPr>
      <t>4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10</t>
    </r>
  </si>
  <si>
    <t>ISOBUTANE</t>
  </si>
  <si>
    <t>N-PENTANE</t>
  </si>
  <si>
    <r>
      <t>C</t>
    </r>
    <r>
      <rPr>
        <vertAlign val="subscript"/>
        <sz val="9"/>
        <color theme="1"/>
        <rFont val="Calibri"/>
        <family val="2"/>
      </rPr>
      <t>5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12</t>
    </r>
  </si>
  <si>
    <t>ISOPENTANE</t>
  </si>
  <si>
    <t>N-HEXANE</t>
  </si>
  <si>
    <r>
      <t>C</t>
    </r>
    <r>
      <rPr>
        <vertAlign val="subscript"/>
        <sz val="9"/>
        <color theme="1"/>
        <rFont val="Calibri"/>
        <family val="2"/>
      </rPr>
      <t>6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14</t>
    </r>
  </si>
  <si>
    <t>N-HEPTANE</t>
  </si>
  <si>
    <r>
      <t>C</t>
    </r>
    <r>
      <rPr>
        <vertAlign val="subscript"/>
        <sz val="9"/>
        <color theme="1"/>
        <rFont val="Calibri"/>
        <family val="2"/>
      </rPr>
      <t>7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16</t>
    </r>
  </si>
  <si>
    <t>N-OCTANE</t>
  </si>
  <si>
    <r>
      <t>C</t>
    </r>
    <r>
      <rPr>
        <vertAlign val="subscript"/>
        <sz val="9"/>
        <color theme="1"/>
        <rFont val="Calibri"/>
        <family val="2"/>
      </rPr>
      <t>8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18</t>
    </r>
  </si>
  <si>
    <t>N-NONANE</t>
  </si>
  <si>
    <r>
      <t>C</t>
    </r>
    <r>
      <rPr>
        <vertAlign val="subscript"/>
        <sz val="9"/>
        <color theme="1"/>
        <rFont val="Calibri"/>
        <family val="2"/>
      </rPr>
      <t>9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20</t>
    </r>
  </si>
  <si>
    <t>N-DECANE</t>
  </si>
  <si>
    <r>
      <t>C</t>
    </r>
    <r>
      <rPr>
        <vertAlign val="subscript"/>
        <sz val="9"/>
        <color theme="1"/>
        <rFont val="Calibri"/>
        <family val="2"/>
      </rPr>
      <t>10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22</t>
    </r>
  </si>
  <si>
    <t>MW</t>
  </si>
  <si>
    <t>Tc</t>
  </si>
  <si>
    <t>Pc</t>
  </si>
  <si>
    <t>ºF</t>
  </si>
  <si>
    <t>psi</t>
  </si>
  <si>
    <t>w</t>
  </si>
  <si>
    <t>Composition</t>
  </si>
  <si>
    <t>%</t>
  </si>
  <si>
    <r>
      <t>CO</t>
    </r>
    <r>
      <rPr>
        <vertAlign val="subscript"/>
        <sz val="9"/>
        <color rgb="FF0000FF"/>
        <rFont val="Calibri"/>
        <family val="2"/>
      </rPr>
      <t>2</t>
    </r>
  </si>
  <si>
    <r>
      <t>H</t>
    </r>
    <r>
      <rPr>
        <vertAlign val="subscript"/>
        <sz val="9"/>
        <color rgb="FF0000FF"/>
        <rFont val="Calibri"/>
        <family val="2"/>
      </rPr>
      <t>2</t>
    </r>
    <r>
      <rPr>
        <sz val="9"/>
        <color rgb="FF0000FF"/>
        <rFont val="Calibri"/>
        <family val="2"/>
      </rPr>
      <t>S</t>
    </r>
  </si>
  <si>
    <r>
      <t>N</t>
    </r>
    <r>
      <rPr>
        <vertAlign val="subscript"/>
        <sz val="9"/>
        <color rgb="FF0000FF"/>
        <rFont val="Calibri"/>
        <family val="2"/>
      </rPr>
      <t>2</t>
    </r>
  </si>
  <si>
    <t>y</t>
  </si>
  <si>
    <t>Pseudo Properties</t>
  </si>
  <si>
    <t>Temperature</t>
  </si>
  <si>
    <t>Pressure Min</t>
  </si>
  <si>
    <t>Pressure Max</t>
  </si>
  <si>
    <t>Pressure</t>
  </si>
  <si>
    <t>Press Increment</t>
  </si>
  <si>
    <t>EOS - Peng-Robinson (1976)</t>
  </si>
  <si>
    <t>Gas</t>
  </si>
  <si>
    <t>Cubic Equation Coefficients</t>
  </si>
  <si>
    <t>Real Roots</t>
  </si>
  <si>
    <t>Bg</t>
  </si>
  <si>
    <t>Density</t>
  </si>
  <si>
    <t>Viscosity</t>
  </si>
  <si>
    <t>k</t>
  </si>
  <si>
    <t>a</t>
  </si>
  <si>
    <t>b</t>
  </si>
  <si>
    <t>A</t>
  </si>
  <si>
    <t>B</t>
  </si>
  <si>
    <t>x</t>
  </si>
  <si>
    <t>s</t>
  </si>
  <si>
    <t>Z</t>
  </si>
  <si>
    <t>bbl/scf</t>
  </si>
  <si>
    <t>cf/scf</t>
  </si>
  <si>
    <t>lbm/ft3</t>
  </si>
  <si>
    <t>cp</t>
  </si>
  <si>
    <t>Tpc</t>
  </si>
  <si>
    <t>Carbon Dioxide</t>
  </si>
  <si>
    <t>decimal</t>
  </si>
  <si>
    <t>Hydrogen Sulfide</t>
  </si>
  <si>
    <t>ºR</t>
  </si>
  <si>
    <t>Adjustment for Nonhydrocarbon</t>
  </si>
  <si>
    <t>Wichert &amp; Aziz Correlation</t>
  </si>
  <si>
    <t>Temp</t>
  </si>
  <si>
    <t>Factor z</t>
  </si>
  <si>
    <t>Gas Vis</t>
  </si>
  <si>
    <t>Gas FVF</t>
  </si>
  <si>
    <t>Gas Den</t>
  </si>
  <si>
    <t>ft/scf</t>
  </si>
  <si>
    <r>
      <t>lb/ft</t>
    </r>
    <r>
      <rPr>
        <vertAlign val="superscript"/>
        <sz val="9"/>
        <color theme="0" tint="-0.499984740745262"/>
        <rFont val="Calibri"/>
        <family val="2"/>
        <scheme val="minor"/>
      </rPr>
      <t>3</t>
    </r>
  </si>
  <si>
    <t>Pseudo-Crital Properties from Gas Composition</t>
  </si>
  <si>
    <t>Standing</t>
  </si>
  <si>
    <t>Sutton</t>
  </si>
  <si>
    <t>Ahmed</t>
  </si>
  <si>
    <t>Piper et al.</t>
  </si>
  <si>
    <t>Elsharkawy et al.</t>
  </si>
  <si>
    <t>Gua Ghalambor</t>
  </si>
  <si>
    <r>
      <t>P</t>
    </r>
    <r>
      <rPr>
        <vertAlign val="subscript"/>
        <sz val="9"/>
        <color theme="1"/>
        <rFont val="Calibri"/>
        <family val="2"/>
        <scheme val="minor"/>
      </rPr>
      <t>pc</t>
    </r>
  </si>
  <si>
    <r>
      <t>T</t>
    </r>
    <r>
      <rPr>
        <vertAlign val="subscript"/>
        <sz val="9"/>
        <color theme="1"/>
        <rFont val="Calibri"/>
        <family val="2"/>
        <scheme val="minor"/>
      </rPr>
      <t>pc</t>
    </r>
  </si>
  <si>
    <t>SG</t>
  </si>
  <si>
    <t>Pseudo-Critical Pressure</t>
  </si>
  <si>
    <t>(1)</t>
  </si>
  <si>
    <t>(2)</t>
  </si>
  <si>
    <t>(3)</t>
  </si>
  <si>
    <t>(4)</t>
  </si>
  <si>
    <t>(5)</t>
  </si>
  <si>
    <t>(6)</t>
  </si>
  <si>
    <t>Pseudo-Critical Temperature</t>
  </si>
  <si>
    <t>e</t>
  </si>
  <si>
    <r>
      <t>P'</t>
    </r>
    <r>
      <rPr>
        <vertAlign val="subscript"/>
        <sz val="9"/>
        <color theme="1"/>
        <rFont val="Calibri"/>
        <family val="2"/>
        <scheme val="minor"/>
      </rPr>
      <t>pc</t>
    </r>
  </si>
  <si>
    <r>
      <t>T'</t>
    </r>
    <r>
      <rPr>
        <vertAlign val="subscript"/>
        <sz val="9"/>
        <color theme="1"/>
        <rFont val="Calibri"/>
        <family val="2"/>
        <scheme val="minor"/>
      </rPr>
      <t>pc</t>
    </r>
  </si>
  <si>
    <t>Adjustment for Nonhydrocarbon - Wichert &amp; Aziz Correlation</t>
  </si>
  <si>
    <t>From</t>
  </si>
  <si>
    <t>Ppr</t>
  </si>
  <si>
    <t>to</t>
  </si>
  <si>
    <t>No. of Steps</t>
  </si>
  <si>
    <t xml:space="preserve">Temp.: </t>
  </si>
  <si>
    <t xml:space="preserve">Tpr: </t>
  </si>
  <si>
    <t>Z Factor</t>
  </si>
  <si>
    <t>lbm/cf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</si>
</sst>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"/>
    <numFmt numFmtId="165" formatCode="0.0000"/>
    <numFmt numFmtId="166" formatCode="0.00000"/>
    <numFmt numFmtId="167" formatCode="0.0;0;0"/>
    <numFmt numFmtId="168" formatCode="0.0000;0;0"/>
    <numFmt numFmtId="169" formatCode="0.000000"/>
    <numFmt numFmtId="170" formatCode="0.000"/>
    <numFmt numFmtId="171" formatCode="0.00;0;0"/>
    <numFmt numFmtId="172" formatCode="0.0000000"/>
    <numFmt numFmtId="173" formatCode="0.0000;\-0.0;&quot;--&quot;"/>
    <numFmt numFmtId="174" formatCode="0.00000000000000000"/>
  </numFmts>
  <fonts count="28" x14ac:knownFonts="1"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Calibri"/>
      <family val="2"/>
    </font>
    <font>
      <sz val="8"/>
      <name val="Arial"/>
      <family val="2"/>
    </font>
    <font>
      <sz val="9"/>
      <color theme="1"/>
      <name val="Calibri"/>
      <family val="2"/>
    </font>
    <font>
      <vertAlign val="subscript"/>
      <sz val="9"/>
      <color theme="1"/>
      <name val="Calibri"/>
      <family val="2"/>
    </font>
    <font>
      <b/>
      <sz val="9"/>
      <color theme="1"/>
      <name val="Calibri"/>
      <family val="2"/>
    </font>
    <font>
      <sz val="8"/>
      <color theme="1"/>
      <name val="Arial"/>
      <family val="2"/>
    </font>
    <font>
      <sz val="9"/>
      <color rgb="FF0000FF"/>
      <name val="Calibri"/>
      <family val="2"/>
    </font>
    <font>
      <vertAlign val="subscript"/>
      <sz val="9"/>
      <color rgb="FF0000FF"/>
      <name val="Calibri"/>
      <family val="2"/>
    </font>
    <font>
      <sz val="14"/>
      <color theme="1"/>
      <name val="Symbol"/>
      <family val="1"/>
      <charset val="2"/>
    </font>
    <font>
      <b/>
      <sz val="9"/>
      <color theme="1"/>
      <name val="Times New Roman"/>
      <family val="1"/>
    </font>
    <font>
      <b/>
      <sz val="9"/>
      <color rgb="FF0000FF"/>
      <name val="Calibri"/>
      <family val="2"/>
    </font>
    <font>
      <b/>
      <sz val="10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DDEBF7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9"/>
      <color theme="1"/>
      <name val="Symbol"/>
      <family val="1"/>
      <charset val="2"/>
    </font>
    <font>
      <sz val="9"/>
      <color theme="0" tint="-0.499984740745262"/>
      <name val="Calibri"/>
      <family val="2"/>
      <scheme val="minor"/>
    </font>
    <font>
      <vertAlign val="superscript"/>
      <sz val="9"/>
      <color theme="0" tint="-0.499984740745262"/>
      <name val="Calibri"/>
      <family val="2"/>
      <scheme val="minor"/>
    </font>
    <font>
      <b/>
      <sz val="9"/>
      <color theme="1"/>
      <name val="Arial"/>
      <family val="2"/>
    </font>
    <font>
      <b/>
      <sz val="10"/>
      <color rgb="FF0000FF"/>
      <name val="Calibri"/>
      <family val="2"/>
      <scheme val="minor"/>
    </font>
    <font>
      <vertAlign val="subscript"/>
      <sz val="9"/>
      <color theme="1"/>
      <name val="Calibri"/>
      <family val="2"/>
      <scheme val="minor"/>
    </font>
    <font>
      <b/>
      <sz val="10"/>
      <color rgb="FF0000FF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10">
    <xf numFmtId="0" fontId="0" fillId="0" borderId="0" xfId="0"/>
    <xf numFmtId="0" fontId="5" fillId="0" borderId="0" xfId="0" applyFont="1" applyBorder="1"/>
    <xf numFmtId="0" fontId="5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9" fillId="0" borderId="1" xfId="0" applyFont="1" applyBorder="1"/>
    <xf numFmtId="0" fontId="9" fillId="0" borderId="2" xfId="0" applyFont="1" applyBorder="1"/>
    <xf numFmtId="0" fontId="9" fillId="0" borderId="5" xfId="0" applyFont="1" applyBorder="1"/>
    <xf numFmtId="0" fontId="9" fillId="0" borderId="0" xfId="0" applyFont="1" applyBorder="1"/>
    <xf numFmtId="0" fontId="9" fillId="0" borderId="12" xfId="0" applyFont="1" applyBorder="1"/>
    <xf numFmtId="0" fontId="9" fillId="0" borderId="13" xfId="0" applyFont="1" applyBorder="1"/>
    <xf numFmtId="0" fontId="5" fillId="0" borderId="0" xfId="0" applyFont="1" applyAlignment="1">
      <alignment horizontal="right" indent="1"/>
    </xf>
    <xf numFmtId="0" fontId="7" fillId="2" borderId="2" xfId="0" applyFont="1" applyFill="1" applyBorder="1" applyAlignment="1">
      <alignment horizontal="right" indent="1"/>
    </xf>
    <xf numFmtId="0" fontId="5" fillId="2" borderId="4" xfId="0" applyFont="1" applyFill="1" applyBorder="1" applyAlignment="1">
      <alignment horizontal="right" indent="1"/>
    </xf>
    <xf numFmtId="0" fontId="8" fillId="2" borderId="4" xfId="0" applyFont="1" applyFill="1" applyBorder="1" applyAlignment="1">
      <alignment horizontal="right" indent="1"/>
    </xf>
    <xf numFmtId="0" fontId="9" fillId="0" borderId="2" xfId="0" applyFont="1" applyBorder="1" applyAlignment="1">
      <alignment horizontal="right" indent="1"/>
    </xf>
    <xf numFmtId="0" fontId="9" fillId="0" borderId="0" xfId="0" applyFont="1" applyBorder="1" applyAlignment="1">
      <alignment horizontal="right" indent="1"/>
    </xf>
    <xf numFmtId="0" fontId="9" fillId="0" borderId="13" xfId="0" applyFont="1" applyBorder="1" applyAlignment="1">
      <alignment horizontal="right" indent="1"/>
    </xf>
    <xf numFmtId="0" fontId="5" fillId="0" borderId="0" xfId="0" applyFont="1" applyBorder="1" applyAlignment="1">
      <alignment horizontal="right" indent="1"/>
    </xf>
    <xf numFmtId="0" fontId="5" fillId="0" borderId="4" xfId="0" applyFont="1" applyBorder="1" applyAlignment="1">
      <alignment horizontal="right" indent="1"/>
    </xf>
    <xf numFmtId="0" fontId="7" fillId="2" borderId="0" xfId="0" applyFont="1" applyFill="1" applyBorder="1" applyAlignment="1">
      <alignment horizontal="right" indent="1"/>
    </xf>
    <xf numFmtId="0" fontId="12" fillId="2" borderId="0" xfId="0" applyFont="1" applyFill="1" applyBorder="1" applyAlignment="1">
      <alignment horizontal="right" indent="1"/>
    </xf>
    <xf numFmtId="2" fontId="5" fillId="0" borderId="0" xfId="0" applyNumberFormat="1" applyFont="1"/>
    <xf numFmtId="0" fontId="5" fillId="3" borderId="1" xfId="0" applyFont="1" applyFill="1" applyBorder="1"/>
    <xf numFmtId="0" fontId="5" fillId="3" borderId="6" xfId="0" applyFont="1" applyFill="1" applyBorder="1"/>
    <xf numFmtId="0" fontId="5" fillId="3" borderId="9" xfId="0" applyFont="1" applyFill="1" applyBorder="1"/>
    <xf numFmtId="0" fontId="5" fillId="3" borderId="5" xfId="0" applyFont="1" applyFill="1" applyBorder="1"/>
    <xf numFmtId="0" fontId="5" fillId="3" borderId="7" xfId="0" applyFont="1" applyFill="1" applyBorder="1"/>
    <xf numFmtId="0" fontId="5" fillId="3" borderId="11" xfId="0" applyFont="1" applyFill="1" applyBorder="1"/>
    <xf numFmtId="165" fontId="5" fillId="0" borderId="11" xfId="0" applyNumberFormat="1" applyFont="1" applyBorder="1" applyAlignment="1">
      <alignment horizontal="right" indent="1"/>
    </xf>
    <xf numFmtId="165" fontId="5" fillId="0" borderId="10" xfId="0" applyNumberFormat="1" applyFont="1" applyBorder="1" applyAlignment="1">
      <alignment horizontal="right" indent="1"/>
    </xf>
    <xf numFmtId="165" fontId="9" fillId="0" borderId="9" xfId="0" applyNumberFormat="1" applyFont="1" applyBorder="1" applyAlignment="1">
      <alignment horizontal="right" indent="1"/>
    </xf>
    <xf numFmtId="165" fontId="9" fillId="0" borderId="11" xfId="0" applyNumberFormat="1" applyFont="1" applyBorder="1" applyAlignment="1">
      <alignment horizontal="right" indent="1"/>
    </xf>
    <xf numFmtId="165" fontId="9" fillId="0" borderId="14" xfId="0" applyNumberFormat="1" applyFont="1" applyBorder="1" applyAlignment="1">
      <alignment horizontal="right" indent="1"/>
    </xf>
    <xf numFmtId="0" fontId="5" fillId="2" borderId="1" xfId="0" applyFont="1" applyFill="1" applyBorder="1"/>
    <xf numFmtId="0" fontId="5" fillId="2" borderId="9" xfId="0" applyFont="1" applyFill="1" applyBorder="1"/>
    <xf numFmtId="0" fontId="5" fillId="2" borderId="5" xfId="0" applyFont="1" applyFill="1" applyBorder="1"/>
    <xf numFmtId="0" fontId="5" fillId="2" borderId="11" xfId="0" applyFont="1" applyFill="1" applyBorder="1"/>
    <xf numFmtId="0" fontId="5" fillId="2" borderId="3" xfId="0" applyFont="1" applyFill="1" applyBorder="1"/>
    <xf numFmtId="0" fontId="5" fillId="2" borderId="10" xfId="0" applyFont="1" applyFill="1" applyBorder="1"/>
    <xf numFmtId="0" fontId="0" fillId="2" borderId="11" xfId="0" applyFont="1" applyFill="1" applyBorder="1"/>
    <xf numFmtId="0" fontId="17" fillId="0" borderId="0" xfId="0" applyFont="1"/>
    <xf numFmtId="0" fontId="5" fillId="6" borderId="22" xfId="0" applyFont="1" applyFill="1" applyBorder="1"/>
    <xf numFmtId="0" fontId="18" fillId="0" borderId="0" xfId="0" applyFont="1"/>
    <xf numFmtId="168" fontId="18" fillId="0" borderId="0" xfId="0" applyNumberFormat="1" applyFont="1"/>
    <xf numFmtId="0" fontId="18" fillId="0" borderId="0" xfId="0" applyFont="1" applyAlignment="1">
      <alignment horizontal="right" indent="1"/>
    </xf>
    <xf numFmtId="0" fontId="18" fillId="2" borderId="1" xfId="0" applyFont="1" applyFill="1" applyBorder="1" applyAlignment="1">
      <alignment horizontal="left" indent="1"/>
    </xf>
    <xf numFmtId="164" fontId="18" fillId="2" borderId="2" xfId="0" applyNumberFormat="1" applyFont="1" applyFill="1" applyBorder="1"/>
    <xf numFmtId="0" fontId="18" fillId="2" borderId="9" xfId="0" applyFont="1" applyFill="1" applyBorder="1"/>
    <xf numFmtId="0" fontId="18" fillId="2" borderId="5" xfId="0" applyFont="1" applyFill="1" applyBorder="1" applyAlignment="1">
      <alignment horizontal="left" indent="1"/>
    </xf>
    <xf numFmtId="164" fontId="18" fillId="2" borderId="0" xfId="0" applyNumberFormat="1" applyFont="1" applyFill="1" applyBorder="1"/>
    <xf numFmtId="0" fontId="18" fillId="2" borderId="11" xfId="0" applyFont="1" applyFill="1" applyBorder="1"/>
    <xf numFmtId="0" fontId="18" fillId="2" borderId="3" xfId="0" applyFont="1" applyFill="1" applyBorder="1" applyAlignment="1">
      <alignment horizontal="left" indent="1"/>
    </xf>
    <xf numFmtId="164" fontId="18" fillId="2" borderId="4" xfId="0" applyNumberFormat="1" applyFont="1" applyFill="1" applyBorder="1"/>
    <xf numFmtId="0" fontId="18" fillId="2" borderId="10" xfId="0" applyFont="1" applyFill="1" applyBorder="1"/>
    <xf numFmtId="0" fontId="18" fillId="5" borderId="22" xfId="0" applyFont="1" applyFill="1" applyBorder="1" applyAlignment="1">
      <alignment horizontal="left" indent="1"/>
    </xf>
    <xf numFmtId="167" fontId="18" fillId="5" borderId="24" xfId="0" applyNumberFormat="1" applyFont="1" applyFill="1" applyBorder="1"/>
    <xf numFmtId="0" fontId="18" fillId="5" borderId="23" xfId="0" applyFont="1" applyFill="1" applyBorder="1"/>
    <xf numFmtId="168" fontId="18" fillId="0" borderId="0" xfId="0" applyNumberFormat="1" applyFont="1" applyAlignment="1">
      <alignment horizontal="right" indent="1"/>
    </xf>
    <xf numFmtId="169" fontId="18" fillId="0" borderId="0" xfId="0" applyNumberFormat="1" applyFont="1" applyAlignment="1">
      <alignment horizontal="right" indent="1"/>
    </xf>
    <xf numFmtId="166" fontId="18" fillId="0" borderId="0" xfId="0" applyNumberFormat="1" applyFont="1" applyAlignment="1">
      <alignment horizontal="right" indent="1"/>
    </xf>
    <xf numFmtId="2" fontId="18" fillId="0" borderId="0" xfId="0" applyNumberFormat="1" applyFont="1" applyAlignment="1">
      <alignment horizontal="right" indent="1"/>
    </xf>
    <xf numFmtId="0" fontId="3" fillId="0" borderId="0" xfId="0" applyFont="1"/>
    <xf numFmtId="0" fontId="8" fillId="2" borderId="11" xfId="0" applyFont="1" applyFill="1" applyBorder="1"/>
    <xf numFmtId="0" fontId="5" fillId="7" borderId="29" xfId="0" applyFont="1" applyFill="1" applyBorder="1"/>
    <xf numFmtId="0" fontId="5" fillId="7" borderId="31" xfId="0" applyFont="1" applyFill="1" applyBorder="1"/>
    <xf numFmtId="0" fontId="5" fillId="7" borderId="32" xfId="0" applyFont="1" applyFill="1" applyBorder="1"/>
    <xf numFmtId="0" fontId="5" fillId="7" borderId="34" xfId="0" applyFont="1" applyFill="1" applyBorder="1"/>
    <xf numFmtId="0" fontId="3" fillId="7" borderId="35" xfId="0" applyFont="1" applyFill="1" applyBorder="1"/>
    <xf numFmtId="0" fontId="8" fillId="7" borderId="37" xfId="0" applyFont="1" applyFill="1" applyBorder="1"/>
    <xf numFmtId="170" fontId="5" fillId="7" borderId="30" xfId="0" applyNumberFormat="1" applyFont="1" applyFill="1" applyBorder="1" applyAlignment="1">
      <alignment horizontal="right" vertical="center" indent="1"/>
    </xf>
    <xf numFmtId="170" fontId="5" fillId="7" borderId="33" xfId="0" applyNumberFormat="1" applyFont="1" applyFill="1" applyBorder="1" applyAlignment="1">
      <alignment horizontal="right" vertical="center" indent="1"/>
    </xf>
    <xf numFmtId="170" fontId="5" fillId="7" borderId="36" xfId="0" applyNumberFormat="1" applyFont="1" applyFill="1" applyBorder="1" applyAlignment="1">
      <alignment horizontal="right" vertical="center" indent="1"/>
    </xf>
    <xf numFmtId="0" fontId="18" fillId="0" borderId="0" xfId="0" applyFont="1" applyAlignment="1">
      <alignment horizontal="left" indent="4"/>
    </xf>
    <xf numFmtId="164" fontId="18" fillId="0" borderId="2" xfId="0" applyNumberFormat="1" applyFont="1" applyBorder="1" applyAlignment="1">
      <alignment horizontal="right" indent="1"/>
    </xf>
    <xf numFmtId="0" fontId="19" fillId="5" borderId="1" xfId="0" applyFont="1" applyFill="1" applyBorder="1" applyAlignment="1">
      <alignment horizontal="right" indent="1"/>
    </xf>
    <xf numFmtId="0" fontId="19" fillId="5" borderId="2" xfId="0" applyFont="1" applyFill="1" applyBorder="1" applyAlignment="1">
      <alignment horizontal="right" indent="1"/>
    </xf>
    <xf numFmtId="0" fontId="19" fillId="5" borderId="9" xfId="0" applyFont="1" applyFill="1" applyBorder="1" applyAlignment="1">
      <alignment horizontal="right" indent="1"/>
    </xf>
    <xf numFmtId="0" fontId="22" fillId="5" borderId="3" xfId="0" applyFont="1" applyFill="1" applyBorder="1" applyAlignment="1">
      <alignment horizontal="right" indent="1"/>
    </xf>
    <xf numFmtId="0" fontId="22" fillId="5" borderId="4" xfId="0" applyFont="1" applyFill="1" applyBorder="1" applyAlignment="1">
      <alignment horizontal="right" indent="1"/>
    </xf>
    <xf numFmtId="0" fontId="22" fillId="5" borderId="10" xfId="0" applyFont="1" applyFill="1" applyBorder="1" applyAlignment="1">
      <alignment horizontal="right" indent="1"/>
    </xf>
    <xf numFmtId="164" fontId="18" fillId="0" borderId="1" xfId="0" applyNumberFormat="1" applyFont="1" applyBorder="1" applyAlignment="1">
      <alignment horizontal="right" indent="1"/>
    </xf>
    <xf numFmtId="164" fontId="18" fillId="0" borderId="5" xfId="0" applyNumberFormat="1" applyFont="1" applyBorder="1" applyAlignment="1">
      <alignment horizontal="right" indent="1"/>
    </xf>
    <xf numFmtId="164" fontId="18" fillId="0" borderId="0" xfId="0" applyNumberFormat="1" applyFont="1" applyBorder="1" applyAlignment="1">
      <alignment horizontal="right" indent="1"/>
    </xf>
    <xf numFmtId="164" fontId="18" fillId="0" borderId="3" xfId="0" applyNumberFormat="1" applyFont="1" applyBorder="1" applyAlignment="1">
      <alignment horizontal="right" indent="1"/>
    </xf>
    <xf numFmtId="164" fontId="18" fillId="0" borderId="4" xfId="0" applyNumberFormat="1" applyFont="1" applyBorder="1" applyAlignment="1">
      <alignment horizontal="right" indent="1"/>
    </xf>
    <xf numFmtId="165" fontId="18" fillId="2" borderId="41" xfId="0" applyNumberFormat="1" applyFont="1" applyFill="1" applyBorder="1" applyAlignment="1">
      <alignment horizontal="right" indent="1"/>
    </xf>
    <xf numFmtId="165" fontId="18" fillId="2" borderId="2" xfId="0" applyNumberFormat="1" applyFont="1" applyFill="1" applyBorder="1" applyAlignment="1">
      <alignment horizontal="right" indent="1"/>
    </xf>
    <xf numFmtId="165" fontId="18" fillId="2" borderId="42" xfId="0" applyNumberFormat="1" applyFont="1" applyFill="1" applyBorder="1" applyAlignment="1">
      <alignment horizontal="right" indent="1"/>
    </xf>
    <xf numFmtId="165" fontId="18" fillId="2" borderId="0" xfId="0" applyNumberFormat="1" applyFont="1" applyFill="1" applyBorder="1" applyAlignment="1">
      <alignment horizontal="right" indent="1"/>
    </xf>
    <xf numFmtId="165" fontId="18" fillId="2" borderId="43" xfId="0" applyNumberFormat="1" applyFont="1" applyFill="1" applyBorder="1" applyAlignment="1">
      <alignment horizontal="right" indent="1"/>
    </xf>
    <xf numFmtId="165" fontId="18" fillId="2" borderId="4" xfId="0" applyNumberFormat="1" applyFont="1" applyFill="1" applyBorder="1" applyAlignment="1">
      <alignment horizontal="right" indent="1"/>
    </xf>
    <xf numFmtId="170" fontId="18" fillId="2" borderId="9" xfId="0" applyNumberFormat="1" applyFont="1" applyFill="1" applyBorder="1" applyAlignment="1">
      <alignment horizontal="right" indent="1"/>
    </xf>
    <xf numFmtId="170" fontId="18" fillId="2" borderId="11" xfId="0" applyNumberFormat="1" applyFont="1" applyFill="1" applyBorder="1" applyAlignment="1">
      <alignment horizontal="right" indent="1"/>
    </xf>
    <xf numFmtId="170" fontId="18" fillId="2" borderId="10" xfId="0" applyNumberFormat="1" applyFont="1" applyFill="1" applyBorder="1" applyAlignment="1">
      <alignment horizontal="right" indent="1"/>
    </xf>
    <xf numFmtId="0" fontId="18" fillId="2" borderId="6" xfId="0" applyFont="1" applyFill="1" applyBorder="1" applyAlignment="1">
      <alignment horizontal="right" indent="1"/>
    </xf>
    <xf numFmtId="0" fontId="18" fillId="2" borderId="1" xfId="0" applyFont="1" applyFill="1" applyBorder="1"/>
    <xf numFmtId="0" fontId="18" fillId="2" borderId="26" xfId="0" applyFont="1" applyFill="1" applyBorder="1"/>
    <xf numFmtId="0" fontId="19" fillId="2" borderId="7" xfId="0" applyFont="1" applyFill="1" applyBorder="1" applyAlignment="1">
      <alignment horizontal="right" indent="1"/>
    </xf>
    <xf numFmtId="0" fontId="18" fillId="2" borderId="5" xfId="0" applyFont="1" applyFill="1" applyBorder="1" applyAlignment="1">
      <alignment horizontal="right"/>
    </xf>
    <xf numFmtId="0" fontId="18" fillId="2" borderId="27" xfId="0" applyFont="1" applyFill="1" applyBorder="1" applyAlignment="1">
      <alignment horizontal="right"/>
    </xf>
    <xf numFmtId="0" fontId="19" fillId="2" borderId="8" xfId="0" applyFont="1" applyFill="1" applyBorder="1" applyAlignment="1">
      <alignment horizontal="right" indent="1"/>
    </xf>
    <xf numFmtId="0" fontId="18" fillId="2" borderId="3" xfId="0" applyFont="1" applyFill="1" applyBorder="1"/>
    <xf numFmtId="0" fontId="18" fillId="2" borderId="28" xfId="0" applyFont="1" applyFill="1" applyBorder="1"/>
    <xf numFmtId="0" fontId="18" fillId="5" borderId="1" xfId="0" applyFont="1" applyFill="1" applyBorder="1" applyAlignment="1">
      <alignment horizontal="left" indent="1"/>
    </xf>
    <xf numFmtId="0" fontId="18" fillId="5" borderId="3" xfId="0" applyFont="1" applyFill="1" applyBorder="1" applyAlignment="1">
      <alignment horizontal="right" indent="1"/>
    </xf>
    <xf numFmtId="0" fontId="21" fillId="5" borderId="4" xfId="0" applyFont="1" applyFill="1" applyBorder="1" applyAlignment="1">
      <alignment horizontal="right" indent="1"/>
    </xf>
    <xf numFmtId="0" fontId="18" fillId="5" borderId="4" xfId="0" applyFont="1" applyFill="1" applyBorder="1" applyAlignment="1">
      <alignment horizontal="right" indent="1"/>
    </xf>
    <xf numFmtId="0" fontId="18" fillId="5" borderId="10" xfId="0" applyFont="1" applyFill="1" applyBorder="1" applyAlignment="1">
      <alignment horizontal="right" indent="1"/>
    </xf>
    <xf numFmtId="0" fontId="19" fillId="9" borderId="1" xfId="0" applyFont="1" applyFill="1" applyBorder="1" applyAlignment="1">
      <alignment horizontal="right" indent="1"/>
    </xf>
    <xf numFmtId="0" fontId="19" fillId="9" borderId="9" xfId="0" applyFont="1" applyFill="1" applyBorder="1" applyAlignment="1">
      <alignment horizontal="right" indent="1"/>
    </xf>
    <xf numFmtId="0" fontId="19" fillId="9" borderId="6" xfId="0" applyFont="1" applyFill="1" applyBorder="1" applyAlignment="1">
      <alignment horizontal="right" indent="1"/>
    </xf>
    <xf numFmtId="0" fontId="19" fillId="9" borderId="5" xfId="0" applyFont="1" applyFill="1" applyBorder="1" applyAlignment="1">
      <alignment horizontal="right" indent="1"/>
    </xf>
    <xf numFmtId="0" fontId="19" fillId="9" borderId="11" xfId="0" applyFont="1" applyFill="1" applyBorder="1" applyAlignment="1">
      <alignment horizontal="right" indent="1"/>
    </xf>
    <xf numFmtId="0" fontId="19" fillId="9" borderId="7" xfId="0" applyFont="1" applyFill="1" applyBorder="1" applyAlignment="1">
      <alignment horizontal="right" indent="1"/>
    </xf>
    <xf numFmtId="0" fontId="18" fillId="9" borderId="3" xfId="0" applyFont="1" applyFill="1" applyBorder="1" applyAlignment="1">
      <alignment horizontal="right" indent="1"/>
    </xf>
    <xf numFmtId="0" fontId="18" fillId="9" borderId="10" xfId="0" applyFont="1" applyFill="1" applyBorder="1" applyAlignment="1">
      <alignment horizontal="right" indent="1"/>
    </xf>
    <xf numFmtId="0" fontId="18" fillId="9" borderId="8" xfId="0" applyFont="1" applyFill="1" applyBorder="1" applyAlignment="1">
      <alignment horizontal="right" indent="1"/>
    </xf>
    <xf numFmtId="0" fontId="19" fillId="5" borderId="1" xfId="0" applyFont="1" applyFill="1" applyBorder="1" applyAlignment="1">
      <alignment horizontal="left" indent="1"/>
    </xf>
    <xf numFmtId="0" fontId="13" fillId="0" borderId="0" xfId="0" applyFont="1"/>
    <xf numFmtId="0" fontId="20" fillId="0" borderId="0" xfId="0" applyFont="1"/>
    <xf numFmtId="2" fontId="19" fillId="5" borderId="2" xfId="0" applyNumberFormat="1" applyFont="1" applyFill="1" applyBorder="1" applyAlignment="1">
      <alignment vertical="center"/>
    </xf>
    <xf numFmtId="2" fontId="19" fillId="5" borderId="4" xfId="0" applyNumberFormat="1" applyFont="1" applyFill="1" applyBorder="1" applyAlignment="1">
      <alignment vertical="center"/>
    </xf>
    <xf numFmtId="2" fontId="18" fillId="0" borderId="0" xfId="0" applyNumberFormat="1" applyFont="1"/>
    <xf numFmtId="0" fontId="18" fillId="5" borderId="9" xfId="0" applyFont="1" applyFill="1" applyBorder="1" applyAlignment="1">
      <alignment horizontal="left" indent="1"/>
    </xf>
    <xf numFmtId="0" fontId="20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5" borderId="3" xfId="0" applyFont="1" applyFill="1" applyBorder="1" applyAlignment="1">
      <alignment horizontal="left" indent="1"/>
    </xf>
    <xf numFmtId="0" fontId="8" fillId="5" borderId="10" xfId="0" applyFont="1" applyFill="1" applyBorder="1" applyAlignment="1">
      <alignment horizontal="left" indent="1"/>
    </xf>
    <xf numFmtId="0" fontId="18" fillId="0" borderId="0" xfId="0" applyFont="1" applyAlignment="1">
      <alignment horizontal="left" indent="1"/>
    </xf>
    <xf numFmtId="164" fontId="18" fillId="0" borderId="0" xfId="0" applyNumberFormat="1" applyFont="1"/>
    <xf numFmtId="0" fontId="18" fillId="0" borderId="0" xfId="0" quotePrefix="1" applyFont="1"/>
    <xf numFmtId="0" fontId="19" fillId="0" borderId="22" xfId="0" applyFont="1" applyBorder="1" applyAlignment="1">
      <alignment horizontal="right"/>
    </xf>
    <xf numFmtId="2" fontId="18" fillId="0" borderId="1" xfId="0" applyNumberFormat="1" applyFont="1" applyBorder="1" applyAlignment="1">
      <alignment horizontal="right"/>
    </xf>
    <xf numFmtId="164" fontId="18" fillId="0" borderId="2" xfId="0" applyNumberFormat="1" applyFont="1" applyBorder="1" applyAlignment="1">
      <alignment horizontal="right"/>
    </xf>
    <xf numFmtId="164" fontId="18" fillId="0" borderId="9" xfId="0" applyNumberFormat="1" applyFont="1" applyBorder="1" applyAlignment="1">
      <alignment horizontal="right"/>
    </xf>
    <xf numFmtId="2" fontId="18" fillId="0" borderId="5" xfId="0" applyNumberFormat="1" applyFont="1" applyBorder="1" applyAlignment="1">
      <alignment horizontal="right"/>
    </xf>
    <xf numFmtId="164" fontId="18" fillId="0" borderId="0" xfId="0" applyNumberFormat="1" applyFont="1" applyBorder="1" applyAlignment="1">
      <alignment horizontal="right"/>
    </xf>
    <xf numFmtId="164" fontId="18" fillId="0" borderId="11" xfId="0" applyNumberFormat="1" applyFont="1" applyBorder="1" applyAlignment="1">
      <alignment horizontal="right"/>
    </xf>
    <xf numFmtId="2" fontId="18" fillId="0" borderId="3" xfId="0" applyNumberFormat="1" applyFont="1" applyBorder="1" applyAlignment="1">
      <alignment horizontal="right"/>
    </xf>
    <xf numFmtId="164" fontId="18" fillId="0" borderId="4" xfId="0" applyNumberFormat="1" applyFont="1" applyBorder="1" applyAlignment="1">
      <alignment horizontal="right"/>
    </xf>
    <xf numFmtId="164" fontId="18" fillId="0" borderId="10" xfId="0" applyNumberFormat="1" applyFont="1" applyBorder="1" applyAlignment="1">
      <alignment horizontal="right"/>
    </xf>
    <xf numFmtId="0" fontId="19" fillId="2" borderId="24" xfId="0" quotePrefix="1" applyFont="1" applyFill="1" applyBorder="1" applyAlignment="1">
      <alignment horizontal="right"/>
    </xf>
    <xf numFmtId="0" fontId="19" fillId="2" borderId="23" xfId="0" quotePrefix="1" applyFont="1" applyFill="1" applyBorder="1" applyAlignment="1">
      <alignment horizontal="right"/>
    </xf>
    <xf numFmtId="0" fontId="19" fillId="2" borderId="22" xfId="0" quotePrefix="1" applyFont="1" applyFill="1" applyBorder="1" applyAlignment="1">
      <alignment horizontal="right"/>
    </xf>
    <xf numFmtId="164" fontId="18" fillId="0" borderId="1" xfId="0" applyNumberFormat="1" applyFont="1" applyBorder="1" applyAlignment="1">
      <alignment horizontal="right"/>
    </xf>
    <xf numFmtId="164" fontId="18" fillId="0" borderId="5" xfId="0" applyNumberFormat="1" applyFont="1" applyBorder="1" applyAlignment="1">
      <alignment horizontal="right"/>
    </xf>
    <xf numFmtId="164" fontId="18" fillId="0" borderId="3" xfId="0" applyNumberFormat="1" applyFont="1" applyBorder="1" applyAlignment="1">
      <alignment horizontal="right"/>
    </xf>
    <xf numFmtId="0" fontId="19" fillId="5" borderId="22" xfId="0" quotePrefix="1" applyFont="1" applyFill="1" applyBorder="1" applyAlignment="1">
      <alignment horizontal="right"/>
    </xf>
    <xf numFmtId="0" fontId="19" fillId="5" borderId="24" xfId="0" quotePrefix="1" applyFont="1" applyFill="1" applyBorder="1" applyAlignment="1">
      <alignment horizontal="right"/>
    </xf>
    <xf numFmtId="0" fontId="19" fillId="5" borderId="23" xfId="0" quotePrefix="1" applyFont="1" applyFill="1" applyBorder="1" applyAlignment="1">
      <alignment horizontal="right"/>
    </xf>
    <xf numFmtId="170" fontId="5" fillId="7" borderId="39" xfId="0" applyNumberFormat="1" applyFont="1" applyFill="1" applyBorder="1" applyAlignment="1">
      <alignment vertical="center"/>
    </xf>
    <xf numFmtId="0" fontId="5" fillId="7" borderId="40" xfId="0" applyFont="1" applyFill="1" applyBorder="1" applyAlignment="1"/>
    <xf numFmtId="0" fontId="2" fillId="7" borderId="38" xfId="0" applyFont="1" applyFill="1" applyBorder="1" applyAlignment="1"/>
    <xf numFmtId="0" fontId="21" fillId="7" borderId="35" xfId="0" applyFont="1" applyFill="1" applyBorder="1" applyAlignment="1"/>
    <xf numFmtId="170" fontId="18" fillId="7" borderId="36" xfId="0" applyNumberFormat="1" applyFont="1" applyFill="1" applyBorder="1" applyAlignment="1">
      <alignment vertical="center"/>
    </xf>
    <xf numFmtId="0" fontId="18" fillId="9" borderId="1" xfId="0" applyFont="1" applyFill="1" applyBorder="1" applyAlignment="1">
      <alignment horizontal="left" indent="1"/>
    </xf>
    <xf numFmtId="2" fontId="19" fillId="9" borderId="2" xfId="0" applyNumberFormat="1" applyFont="1" applyFill="1" applyBorder="1" applyAlignment="1">
      <alignment vertical="center"/>
    </xf>
    <xf numFmtId="0" fontId="8" fillId="9" borderId="9" xfId="0" applyFont="1" applyFill="1" applyBorder="1" applyAlignment="1">
      <alignment horizontal="left" indent="1"/>
    </xf>
    <xf numFmtId="0" fontId="18" fillId="9" borderId="3" xfId="0" applyFont="1" applyFill="1" applyBorder="1" applyAlignment="1">
      <alignment horizontal="left" indent="1"/>
    </xf>
    <xf numFmtId="2" fontId="19" fillId="9" borderId="4" xfId="0" applyNumberFormat="1" applyFont="1" applyFill="1" applyBorder="1" applyAlignment="1">
      <alignment vertical="center"/>
    </xf>
    <xf numFmtId="0" fontId="8" fillId="9" borderId="10" xfId="0" applyFont="1" applyFill="1" applyBorder="1" applyAlignment="1">
      <alignment horizontal="left" indent="1"/>
    </xf>
    <xf numFmtId="0" fontId="9" fillId="3" borderId="1" xfId="0" applyFont="1" applyFill="1" applyBorder="1"/>
    <xf numFmtId="0" fontId="9" fillId="3" borderId="2" xfId="0" applyFont="1" applyFill="1" applyBorder="1"/>
    <xf numFmtId="170" fontId="20" fillId="3" borderId="9" xfId="0" applyNumberFormat="1" applyFont="1" applyFill="1" applyBorder="1" applyAlignment="1">
      <alignment horizontal="right" indent="1"/>
    </xf>
    <xf numFmtId="0" fontId="9" fillId="3" borderId="5" xfId="0" applyFont="1" applyFill="1" applyBorder="1"/>
    <xf numFmtId="0" fontId="9" fillId="3" borderId="0" xfId="0" applyFont="1" applyFill="1" applyBorder="1"/>
    <xf numFmtId="170" fontId="20" fillId="3" borderId="11" xfId="0" applyNumberFormat="1" applyFont="1" applyFill="1" applyBorder="1" applyAlignment="1">
      <alignment horizontal="right" indent="1"/>
    </xf>
    <xf numFmtId="0" fontId="9" fillId="3" borderId="3" xfId="0" applyFont="1" applyFill="1" applyBorder="1"/>
    <xf numFmtId="0" fontId="9" fillId="3" borderId="4" xfId="0" applyFont="1" applyFill="1" applyBorder="1"/>
    <xf numFmtId="170" fontId="20" fillId="3" borderId="10" xfId="0" applyNumberFormat="1" applyFont="1" applyFill="1" applyBorder="1" applyAlignment="1">
      <alignment horizontal="right" indent="1"/>
    </xf>
    <xf numFmtId="0" fontId="18" fillId="3" borderId="1" xfId="0" applyFont="1" applyFill="1" applyBorder="1"/>
    <xf numFmtId="0" fontId="18" fillId="3" borderId="9" xfId="0" applyFont="1" applyFill="1" applyBorder="1"/>
    <xf numFmtId="0" fontId="18" fillId="3" borderId="5" xfId="0" applyFont="1" applyFill="1" applyBorder="1"/>
    <xf numFmtId="0" fontId="18" fillId="3" borderId="11" xfId="0" applyFont="1" applyFill="1" applyBorder="1"/>
    <xf numFmtId="0" fontId="18" fillId="3" borderId="3" xfId="0" applyFont="1" applyFill="1" applyBorder="1"/>
    <xf numFmtId="0" fontId="18" fillId="3" borderId="10" xfId="0" applyFont="1" applyFill="1" applyBorder="1"/>
    <xf numFmtId="0" fontId="19" fillId="0" borderId="0" xfId="0" applyFont="1" applyAlignment="1">
      <alignment horizontal="left"/>
    </xf>
    <xf numFmtId="0" fontId="20" fillId="0" borderId="22" xfId="0" applyFont="1" applyBorder="1"/>
    <xf numFmtId="0" fontId="18" fillId="0" borderId="24" xfId="0" applyFont="1" applyBorder="1"/>
    <xf numFmtId="0" fontId="18" fillId="0" borderId="23" xfId="0" applyFont="1" applyBorder="1"/>
    <xf numFmtId="0" fontId="0" fillId="7" borderId="37" xfId="0" applyFont="1" applyFill="1" applyBorder="1" applyAlignment="1"/>
    <xf numFmtId="0" fontId="0" fillId="0" borderId="0" xfId="0" applyBorder="1"/>
    <xf numFmtId="0" fontId="18" fillId="0" borderId="0" xfId="0" applyFont="1" applyBorder="1"/>
    <xf numFmtId="0" fontId="0" fillId="0" borderId="1" xfId="0" applyBorder="1"/>
    <xf numFmtId="0" fontId="0" fillId="0" borderId="2" xfId="0" applyBorder="1"/>
    <xf numFmtId="0" fontId="0" fillId="0" borderId="9" xfId="0" applyBorder="1"/>
    <xf numFmtId="0" fontId="0" fillId="0" borderId="5" xfId="0" applyBorder="1"/>
    <xf numFmtId="0" fontId="0" fillId="0" borderId="11" xfId="0" applyBorder="1"/>
    <xf numFmtId="0" fontId="18" fillId="0" borderId="5" xfId="0" applyFont="1" applyBorder="1"/>
    <xf numFmtId="0" fontId="18" fillId="0" borderId="11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10" xfId="0" applyFont="1" applyBorder="1"/>
    <xf numFmtId="0" fontId="18" fillId="0" borderId="0" xfId="0" applyFont="1" applyAlignment="1">
      <alignment horizontal="right"/>
    </xf>
    <xf numFmtId="0" fontId="18" fillId="0" borderId="22" xfId="0" applyFont="1" applyBorder="1"/>
    <xf numFmtId="0" fontId="0" fillId="0" borderId="0" xfId="0" applyAlignment="1">
      <alignment horizontal="right"/>
    </xf>
    <xf numFmtId="0" fontId="18" fillId="0" borderId="6" xfId="0" applyFont="1" applyBorder="1" applyAlignment="1">
      <alignment horizontal="right"/>
    </xf>
    <xf numFmtId="0" fontId="18" fillId="0" borderId="8" xfId="0" applyFont="1" applyBorder="1" applyAlignment="1">
      <alignment horizontal="right"/>
    </xf>
    <xf numFmtId="171" fontId="18" fillId="0" borderId="0" xfId="0" applyNumberFormat="1" applyFont="1" applyAlignment="1">
      <alignment horizontal="right"/>
    </xf>
    <xf numFmtId="168" fontId="18" fillId="0" borderId="0" xfId="0" applyNumberFormat="1" applyFont="1" applyAlignment="1">
      <alignment horizontal="right"/>
    </xf>
    <xf numFmtId="168" fontId="18" fillId="0" borderId="1" xfId="0" applyNumberFormat="1" applyFont="1" applyBorder="1" applyAlignment="1">
      <alignment horizontal="right"/>
    </xf>
    <xf numFmtId="168" fontId="18" fillId="0" borderId="2" xfId="0" applyNumberFormat="1" applyFont="1" applyBorder="1" applyAlignment="1">
      <alignment horizontal="right"/>
    </xf>
    <xf numFmtId="168" fontId="18" fillId="0" borderId="9" xfId="0" applyNumberFormat="1" applyFont="1" applyBorder="1" applyAlignment="1">
      <alignment horizontal="right"/>
    </xf>
    <xf numFmtId="168" fontId="18" fillId="0" borderId="3" xfId="0" applyNumberFormat="1" applyFont="1" applyBorder="1" applyAlignment="1">
      <alignment horizontal="right"/>
    </xf>
    <xf numFmtId="168" fontId="18" fillId="0" borderId="4" xfId="0" applyNumberFormat="1" applyFont="1" applyBorder="1" applyAlignment="1">
      <alignment horizontal="right"/>
    </xf>
    <xf numFmtId="168" fontId="18" fillId="0" borderId="10" xfId="0" applyNumberFormat="1" applyFont="1" applyBorder="1" applyAlignment="1">
      <alignment horizontal="right"/>
    </xf>
    <xf numFmtId="168" fontId="18" fillId="0" borderId="0" xfId="0" applyNumberFormat="1" applyFont="1" applyBorder="1" applyAlignment="1">
      <alignment horizontal="right"/>
    </xf>
    <xf numFmtId="0" fontId="19" fillId="0" borderId="7" xfId="0" applyFont="1" applyBorder="1" applyAlignment="1">
      <alignment horizontal="right"/>
    </xf>
    <xf numFmtId="168" fontId="19" fillId="0" borderId="1" xfId="0" applyNumberFormat="1" applyFont="1" applyBorder="1" applyAlignment="1">
      <alignment horizontal="right"/>
    </xf>
    <xf numFmtId="168" fontId="19" fillId="0" borderId="2" xfId="0" applyNumberFormat="1" applyFont="1" applyBorder="1" applyAlignment="1">
      <alignment horizontal="right"/>
    </xf>
    <xf numFmtId="168" fontId="19" fillId="0" borderId="9" xfId="0" applyNumberFormat="1" applyFont="1" applyBorder="1" applyAlignment="1">
      <alignment horizontal="right"/>
    </xf>
    <xf numFmtId="0" fontId="19" fillId="0" borderId="0" xfId="0" applyFont="1" applyBorder="1"/>
    <xf numFmtId="0" fontId="19" fillId="0" borderId="6" xfId="0" applyFont="1" applyBorder="1"/>
    <xf numFmtId="0" fontId="19" fillId="0" borderId="8" xfId="0" applyFont="1" applyBorder="1"/>
    <xf numFmtId="0" fontId="19" fillId="0" borderId="23" xfId="0" applyFont="1" applyBorder="1" applyAlignment="1">
      <alignment horizontal="right"/>
    </xf>
    <xf numFmtId="0" fontId="18" fillId="2" borderId="9" xfId="0" applyFont="1" applyFill="1" applyBorder="1" applyAlignment="1">
      <alignment horizontal="center"/>
    </xf>
    <xf numFmtId="0" fontId="18" fillId="2" borderId="10" xfId="0" applyFont="1" applyFill="1" applyBorder="1" applyAlignment="1">
      <alignment horizontal="center"/>
    </xf>
    <xf numFmtId="0" fontId="19" fillId="0" borderId="22" xfId="0" applyFont="1" applyBorder="1" applyAlignment="1">
      <alignment horizontal="right" indent="1"/>
    </xf>
    <xf numFmtId="0" fontId="19" fillId="0" borderId="24" xfId="0" applyFont="1" applyBorder="1" applyAlignment="1">
      <alignment horizontal="right" indent="1"/>
    </xf>
    <xf numFmtId="0" fontId="18" fillId="2" borderId="1" xfId="0" applyFont="1" applyFill="1" applyBorder="1" applyAlignment="1">
      <alignment horizontal="right" indent="1"/>
    </xf>
    <xf numFmtId="0" fontId="18" fillId="2" borderId="2" xfId="0" applyFont="1" applyFill="1" applyBorder="1" applyAlignment="1">
      <alignment horizontal="right" indent="1"/>
    </xf>
    <xf numFmtId="0" fontId="18" fillId="2" borderId="3" xfId="0" applyFont="1" applyFill="1" applyBorder="1" applyAlignment="1">
      <alignment horizontal="right" indent="1"/>
    </xf>
    <xf numFmtId="0" fontId="18" fillId="2" borderId="4" xfId="0" applyFont="1" applyFill="1" applyBorder="1" applyAlignment="1">
      <alignment horizontal="right" indent="1"/>
    </xf>
    <xf numFmtId="0" fontId="18" fillId="0" borderId="44" xfId="0" applyFont="1" applyBorder="1"/>
    <xf numFmtId="172" fontId="18" fillId="0" borderId="0" xfId="0" applyNumberFormat="1" applyFont="1" applyAlignment="1">
      <alignment horizontal="right" indent="1"/>
    </xf>
    <xf numFmtId="173" fontId="5" fillId="3" borderId="3" xfId="0" applyNumberFormat="1" applyFont="1" applyFill="1" applyBorder="1"/>
    <xf numFmtId="173" fontId="5" fillId="3" borderId="8" xfId="0" applyNumberFormat="1" applyFont="1" applyFill="1" applyBorder="1"/>
    <xf numFmtId="173" fontId="5" fillId="3" borderId="10" xfId="0" applyNumberFormat="1" applyFont="1" applyFill="1" applyBorder="1"/>
    <xf numFmtId="173" fontId="9" fillId="0" borderId="1" xfId="0" applyNumberFormat="1" applyFont="1" applyBorder="1" applyAlignment="1">
      <alignment horizontal="right" indent="1"/>
    </xf>
    <xf numFmtId="173" fontId="9" fillId="0" borderId="15" xfId="0" applyNumberFormat="1" applyFont="1" applyBorder="1" applyAlignment="1">
      <alignment horizontal="right" indent="1"/>
    </xf>
    <xf numFmtId="173" fontId="9" fillId="0" borderId="19" xfId="0" applyNumberFormat="1" applyFont="1" applyBorder="1" applyAlignment="1">
      <alignment horizontal="right" indent="1"/>
    </xf>
    <xf numFmtId="173" fontId="9" fillId="0" borderId="9" xfId="0" applyNumberFormat="1" applyFont="1" applyBorder="1" applyAlignment="1">
      <alignment horizontal="right" indent="1"/>
    </xf>
    <xf numFmtId="173" fontId="9" fillId="0" borderId="5" xfId="0" applyNumberFormat="1" applyFont="1" applyBorder="1" applyAlignment="1">
      <alignment horizontal="right" indent="1"/>
    </xf>
    <xf numFmtId="173" fontId="9" fillId="0" borderId="16" xfId="0" applyNumberFormat="1" applyFont="1" applyBorder="1" applyAlignment="1">
      <alignment horizontal="right" indent="1"/>
    </xf>
    <xf numFmtId="173" fontId="9" fillId="0" borderId="20" xfId="0" applyNumberFormat="1" applyFont="1" applyBorder="1" applyAlignment="1">
      <alignment horizontal="right" indent="1"/>
    </xf>
    <xf numFmtId="173" fontId="9" fillId="0" borderId="11" xfId="0" applyNumberFormat="1" applyFont="1" applyBorder="1" applyAlignment="1">
      <alignment horizontal="right" indent="1"/>
    </xf>
    <xf numFmtId="173" fontId="9" fillId="0" borderId="12" xfId="0" applyNumberFormat="1" applyFont="1" applyBorder="1" applyAlignment="1">
      <alignment horizontal="right" indent="1"/>
    </xf>
    <xf numFmtId="173" fontId="9" fillId="0" borderId="17" xfId="0" applyNumberFormat="1" applyFont="1" applyBorder="1" applyAlignment="1">
      <alignment horizontal="right" indent="1"/>
    </xf>
    <xf numFmtId="173" fontId="9" fillId="0" borderId="25" xfId="0" applyNumberFormat="1" applyFont="1" applyBorder="1" applyAlignment="1">
      <alignment horizontal="right" indent="1"/>
    </xf>
    <xf numFmtId="173" fontId="9" fillId="0" borderId="14" xfId="0" applyNumberFormat="1" applyFont="1" applyBorder="1" applyAlignment="1">
      <alignment horizontal="right" indent="1"/>
    </xf>
    <xf numFmtId="173" fontId="5" fillId="0" borderId="5" xfId="0" applyNumberFormat="1" applyFont="1" applyBorder="1" applyAlignment="1">
      <alignment horizontal="right" indent="1"/>
    </xf>
    <xf numFmtId="173" fontId="5" fillId="0" borderId="16" xfId="0" applyNumberFormat="1" applyFont="1" applyBorder="1" applyAlignment="1">
      <alignment horizontal="right" indent="1"/>
    </xf>
    <xf numFmtId="173" fontId="5" fillId="0" borderId="20" xfId="0" applyNumberFormat="1" applyFont="1" applyBorder="1" applyAlignment="1">
      <alignment horizontal="right" indent="1"/>
    </xf>
    <xf numFmtId="173" fontId="5" fillId="0" borderId="11" xfId="0" applyNumberFormat="1" applyFont="1" applyBorder="1" applyAlignment="1">
      <alignment horizontal="right" indent="1"/>
    </xf>
    <xf numFmtId="173" fontId="5" fillId="0" borderId="3" xfId="0" applyNumberFormat="1" applyFont="1" applyBorder="1" applyAlignment="1">
      <alignment horizontal="right" indent="1"/>
    </xf>
    <xf numFmtId="173" fontId="5" fillId="0" borderId="18" xfId="0" applyNumberFormat="1" applyFont="1" applyBorder="1" applyAlignment="1">
      <alignment horizontal="right" indent="1"/>
    </xf>
    <xf numFmtId="173" fontId="5" fillId="0" borderId="21" xfId="0" applyNumberFormat="1" applyFont="1" applyBorder="1" applyAlignment="1">
      <alignment horizontal="right" indent="1"/>
    </xf>
    <xf numFmtId="173" fontId="5" fillId="0" borderId="10" xfId="0" applyNumberFormat="1" applyFont="1" applyBorder="1" applyAlignment="1">
      <alignment horizontal="right" indent="1"/>
    </xf>
    <xf numFmtId="2" fontId="9" fillId="0" borderId="2" xfId="0" applyNumberFormat="1" applyFont="1" applyBorder="1" applyAlignment="1">
      <alignment horizontal="right" indent="1"/>
    </xf>
    <xf numFmtId="2" fontId="9" fillId="0" borderId="0" xfId="0" applyNumberFormat="1" applyFont="1" applyBorder="1" applyAlignment="1">
      <alignment horizontal="right" indent="1"/>
    </xf>
    <xf numFmtId="2" fontId="9" fillId="0" borderId="13" xfId="0" applyNumberFormat="1" applyFont="1" applyBorder="1" applyAlignment="1">
      <alignment horizontal="right" indent="1"/>
    </xf>
    <xf numFmtId="2" fontId="5" fillId="0" borderId="0" xfId="0" applyNumberFormat="1" applyFont="1" applyBorder="1" applyAlignment="1">
      <alignment horizontal="right" indent="1"/>
    </xf>
    <xf numFmtId="2" fontId="5" fillId="0" borderId="4" xfId="0" applyNumberFormat="1" applyFont="1" applyBorder="1" applyAlignment="1">
      <alignment horizontal="right" indent="1"/>
    </xf>
    <xf numFmtId="174" fontId="18" fillId="0" borderId="0" xfId="0" applyNumberFormat="1" applyFont="1"/>
    <xf numFmtId="2" fontId="14" fillId="2" borderId="2" xfId="0" applyNumberFormat="1" applyFont="1" applyFill="1" applyBorder="1" applyAlignment="1">
      <alignment horizontal="right" vertical="center" indent="1"/>
    </xf>
    <xf numFmtId="2" fontId="14" fillId="2" borderId="0" xfId="0" applyNumberFormat="1" applyFont="1" applyFill="1" applyBorder="1" applyAlignment="1">
      <alignment horizontal="right" vertical="center" indent="1"/>
    </xf>
    <xf numFmtId="2" fontId="14" fillId="2" borderId="4" xfId="0" applyNumberFormat="1" applyFont="1" applyFill="1" applyBorder="1" applyAlignment="1">
      <alignment horizontal="right" vertical="center" indent="1"/>
    </xf>
    <xf numFmtId="166" fontId="14" fillId="2" borderId="2" xfId="0" applyNumberFormat="1" applyFont="1" applyFill="1" applyBorder="1" applyAlignment="1">
      <alignment horizontal="right" vertical="center" indent="1"/>
    </xf>
    <xf numFmtId="166" fontId="14" fillId="2" borderId="0" xfId="0" applyNumberFormat="1" applyFont="1" applyFill="1" applyBorder="1" applyAlignment="1">
      <alignment horizontal="right" vertical="center" indent="1"/>
    </xf>
    <xf numFmtId="166" fontId="14" fillId="2" borderId="4" xfId="0" applyNumberFormat="1" applyFont="1" applyFill="1" applyBorder="1" applyAlignment="1">
      <alignment horizontal="right" vertical="center" indent="1"/>
    </xf>
    <xf numFmtId="0" fontId="14" fillId="5" borderId="1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3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right" vertical="center" indent="1"/>
    </xf>
    <xf numFmtId="0" fontId="11" fillId="2" borderId="11" xfId="0" applyFont="1" applyFill="1" applyBorder="1" applyAlignment="1">
      <alignment horizontal="right" vertical="center" indent="1"/>
    </xf>
    <xf numFmtId="0" fontId="11" fillId="2" borderId="10" xfId="0" applyFont="1" applyFill="1" applyBorder="1" applyAlignment="1">
      <alignment horizontal="right" vertical="center" indent="1"/>
    </xf>
    <xf numFmtId="0" fontId="7" fillId="2" borderId="1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165" fontId="14" fillId="2" borderId="2" xfId="0" applyNumberFormat="1" applyFont="1" applyFill="1" applyBorder="1" applyAlignment="1">
      <alignment horizontal="right" vertical="center" indent="1"/>
    </xf>
    <xf numFmtId="0" fontId="14" fillId="2" borderId="0" xfId="0" applyFont="1" applyFill="1" applyBorder="1" applyAlignment="1">
      <alignment horizontal="right" vertical="center" indent="1"/>
    </xf>
    <xf numFmtId="0" fontId="14" fillId="2" borderId="4" xfId="0" applyFont="1" applyFill="1" applyBorder="1" applyAlignment="1">
      <alignment horizontal="right" vertical="center" indent="1"/>
    </xf>
    <xf numFmtId="0" fontId="5" fillId="7" borderId="40" xfId="0" applyFont="1" applyFill="1" applyBorder="1" applyAlignment="1">
      <alignment horizontal="center"/>
    </xf>
    <xf numFmtId="0" fontId="5" fillId="7" borderId="14" xfId="0" applyFont="1" applyFill="1" applyBorder="1" applyAlignment="1">
      <alignment horizontal="center"/>
    </xf>
    <xf numFmtId="0" fontId="5" fillId="7" borderId="40" xfId="0" applyFont="1" applyFill="1" applyBorder="1" applyAlignment="1">
      <alignment horizontal="left" vertical="center"/>
    </xf>
    <xf numFmtId="0" fontId="5" fillId="7" borderId="14" xfId="0" applyFont="1" applyFill="1" applyBorder="1" applyAlignment="1">
      <alignment horizontal="left" vertical="center"/>
    </xf>
    <xf numFmtId="0" fontId="5" fillId="7" borderId="38" xfId="0" applyFont="1" applyFill="1" applyBorder="1" applyAlignment="1">
      <alignment horizontal="center"/>
    </xf>
    <xf numFmtId="0" fontId="5" fillId="7" borderId="12" xfId="0" applyFont="1" applyFill="1" applyBorder="1" applyAlignment="1">
      <alignment horizontal="center"/>
    </xf>
    <xf numFmtId="170" fontId="5" fillId="7" borderId="39" xfId="0" applyNumberFormat="1" applyFont="1" applyFill="1" applyBorder="1" applyAlignment="1">
      <alignment horizontal="right" vertical="center" indent="1"/>
    </xf>
    <xf numFmtId="170" fontId="5" fillId="7" borderId="13" xfId="0" applyNumberFormat="1" applyFont="1" applyFill="1" applyBorder="1" applyAlignment="1">
      <alignment horizontal="right" vertical="center" indent="1"/>
    </xf>
    <xf numFmtId="170" fontId="18" fillId="7" borderId="39" xfId="0" applyNumberFormat="1" applyFont="1" applyFill="1" applyBorder="1" applyAlignment="1">
      <alignment horizontal="right" vertical="center" indent="1"/>
    </xf>
    <xf numFmtId="170" fontId="18" fillId="7" borderId="13" xfId="0" applyNumberFormat="1" applyFont="1" applyFill="1" applyBorder="1" applyAlignment="1">
      <alignment horizontal="right" vertical="center" indent="1"/>
    </xf>
    <xf numFmtId="0" fontId="20" fillId="5" borderId="22" xfId="0" applyFont="1" applyFill="1" applyBorder="1" applyAlignment="1">
      <alignment horizontal="center"/>
    </xf>
    <xf numFmtId="0" fontId="20" fillId="5" borderId="24" xfId="0" applyFont="1" applyFill="1" applyBorder="1" applyAlignment="1">
      <alignment horizontal="center"/>
    </xf>
    <xf numFmtId="0" fontId="20" fillId="5" borderId="23" xfId="0" applyFont="1" applyFill="1" applyBorder="1" applyAlignment="1">
      <alignment horizontal="center"/>
    </xf>
    <xf numFmtId="0" fontId="24" fillId="8" borderId="22" xfId="0" applyFont="1" applyFill="1" applyBorder="1" applyAlignment="1">
      <alignment horizontal="center"/>
    </xf>
    <xf numFmtId="0" fontId="24" fillId="8" borderId="24" xfId="0" applyFont="1" applyFill="1" applyBorder="1" applyAlignment="1">
      <alignment horizontal="center"/>
    </xf>
    <xf numFmtId="0" fontId="24" fillId="8" borderId="23" xfId="0" applyFont="1" applyFill="1" applyBorder="1" applyAlignment="1">
      <alignment horizontal="center"/>
    </xf>
    <xf numFmtId="0" fontId="19" fillId="0" borderId="6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5" fontId="25" fillId="3" borderId="2" xfId="0" applyNumberFormat="1" applyFont="1" applyFill="1" applyBorder="1" applyAlignment="1">
      <alignment horizontal="right" vertical="center" indent="1"/>
    </xf>
    <xf numFmtId="0" fontId="25" fillId="3" borderId="0" xfId="0" applyFont="1" applyFill="1" applyBorder="1" applyAlignment="1">
      <alignment horizontal="right" vertical="center" indent="1"/>
    </xf>
    <xf numFmtId="0" fontId="25" fillId="3" borderId="4" xfId="0" applyFont="1" applyFill="1" applyBorder="1" applyAlignment="1">
      <alignment horizontal="right" vertical="center" indent="1"/>
    </xf>
    <xf numFmtId="2" fontId="27" fillId="4" borderId="15" xfId="0" applyNumberFormat="1" applyFont="1" applyFill="1" applyBorder="1" applyAlignment="1">
      <alignment horizontal="right" indent="1"/>
    </xf>
    <xf numFmtId="2" fontId="27" fillId="4" borderId="16" xfId="0" applyNumberFormat="1" applyFont="1" applyFill="1" applyBorder="1" applyAlignment="1">
      <alignment horizontal="right" indent="1"/>
    </xf>
    <xf numFmtId="2" fontId="27" fillId="4" borderId="17" xfId="0" applyNumberFormat="1" applyFont="1" applyFill="1" applyBorder="1" applyAlignment="1">
      <alignment horizontal="right" indent="1"/>
    </xf>
    <xf numFmtId="2" fontId="14" fillId="4" borderId="16" xfId="0" applyNumberFormat="1" applyFont="1" applyFill="1" applyBorder="1" applyAlignment="1">
      <alignment horizontal="right" indent="1"/>
    </xf>
    <xf numFmtId="2" fontId="14" fillId="4" borderId="18" xfId="0" applyNumberFormat="1" applyFont="1" applyFill="1" applyBorder="1" applyAlignment="1">
      <alignment horizontal="right" indent="1"/>
    </xf>
    <xf numFmtId="2" fontId="14" fillId="6" borderId="23" xfId="0" applyNumberFormat="1" applyFont="1" applyFill="1" applyBorder="1" applyAlignment="1">
      <alignment horizontal="right" vertical="center" indent="1"/>
    </xf>
  </cellXfs>
  <cellStyles count="2">
    <cellStyle name="Normal" xfId="0" builtinId="0"/>
    <cellStyle name="Normal 26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Factor Z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7883971400126705"/>
          <c:w val="0.84530568430719188"/>
          <c:h val="0.68768488497761304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Plots!$B$10:$B$30</c:f>
              <c:numCache>
                <c:formatCode>0.0</c:formatCode>
                <c:ptCount val="21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Plots!$D$10:$D$30</c:f>
              <c:numCache>
                <c:formatCode>0.0000</c:formatCode>
                <c:ptCount val="21"/>
                <c:pt idx="0">
                  <c:v>0.95992</c:v>
                </c:pt>
                <c:pt idx="1">
                  <c:v>0.92932000000000003</c:v>
                </c:pt>
                <c:pt idx="2">
                  <c:v>0.90902000000000005</c:v>
                </c:pt>
                <c:pt idx="3">
                  <c:v>0.89898</c:v>
                </c:pt>
                <c:pt idx="4">
                  <c:v>0.89834000000000003</c:v>
                </c:pt>
                <c:pt idx="5">
                  <c:v>0.90571999999999997</c:v>
                </c:pt>
                <c:pt idx="6">
                  <c:v>0.91956000000000004</c:v>
                </c:pt>
                <c:pt idx="7">
                  <c:v>0.93844000000000005</c:v>
                </c:pt>
                <c:pt idx="8">
                  <c:v>0.96118000000000003</c:v>
                </c:pt>
                <c:pt idx="9">
                  <c:v>0.98685</c:v>
                </c:pt>
                <c:pt idx="10">
                  <c:v>1.0147299999999999</c:v>
                </c:pt>
                <c:pt idx="11">
                  <c:v>1.0443</c:v>
                </c:pt>
                <c:pt idx="12">
                  <c:v>1.0751500000000001</c:v>
                </c:pt>
                <c:pt idx="13">
                  <c:v>1.1069800000000001</c:v>
                </c:pt>
                <c:pt idx="14">
                  <c:v>1.13958</c:v>
                </c:pt>
                <c:pt idx="15">
                  <c:v>1.17275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180960"/>
        <c:axId val="1457184880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'Gas Properties'!$B$10:$B$69</c:f>
              <c:numCache>
                <c:formatCode>General</c:formatCode>
                <c:ptCount val="6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</c:numCache>
            </c:numRef>
          </c:xVal>
          <c:yVal>
            <c:numRef>
              <c:f>'Gas Properties'!$N$10:$N$69</c:f>
              <c:numCache>
                <c:formatCode>0.00000</c:formatCode>
                <c:ptCount val="60"/>
                <c:pt idx="0">
                  <c:v>0.97782999999999998</c:v>
                </c:pt>
                <c:pt idx="1">
                  <c:v>0.95589999999999997</c:v>
                </c:pt>
                <c:pt idx="2">
                  <c:v>0.93425999999999998</c:v>
                </c:pt>
                <c:pt idx="3">
                  <c:v>0.91298999999999997</c:v>
                </c:pt>
                <c:pt idx="4">
                  <c:v>0.89215</c:v>
                </c:pt>
                <c:pt idx="5">
                  <c:v>0.87183999999999995</c:v>
                </c:pt>
                <c:pt idx="6">
                  <c:v>0.85216000000000003</c:v>
                </c:pt>
                <c:pt idx="7">
                  <c:v>0.83321999999999996</c:v>
                </c:pt>
                <c:pt idx="8">
                  <c:v>0.81513000000000002</c:v>
                </c:pt>
                <c:pt idx="9">
                  <c:v>0.79803999999999997</c:v>
                </c:pt>
                <c:pt idx="10">
                  <c:v>0.78207000000000004</c:v>
                </c:pt>
                <c:pt idx="11">
                  <c:v>0.76736000000000004</c:v>
                </c:pt>
                <c:pt idx="12">
                  <c:v>0.75402000000000002</c:v>
                </c:pt>
                <c:pt idx="13">
                  <c:v>0.74214999999999998</c:v>
                </c:pt>
                <c:pt idx="14">
                  <c:v>0.73182999999999998</c:v>
                </c:pt>
                <c:pt idx="15">
                  <c:v>0.72309999999999997</c:v>
                </c:pt>
                <c:pt idx="16">
                  <c:v>0.71594999999999998</c:v>
                </c:pt>
                <c:pt idx="17">
                  <c:v>0.71036999999999995</c:v>
                </c:pt>
                <c:pt idx="18">
                  <c:v>0.70628000000000002</c:v>
                </c:pt>
                <c:pt idx="19">
                  <c:v>0.70360999999999996</c:v>
                </c:pt>
                <c:pt idx="20">
                  <c:v>0.70225000000000004</c:v>
                </c:pt>
                <c:pt idx="21">
                  <c:v>0.70209999999999995</c:v>
                </c:pt>
                <c:pt idx="22">
                  <c:v>0.70304999999999995</c:v>
                </c:pt>
                <c:pt idx="23">
                  <c:v>0.70498000000000005</c:v>
                </c:pt>
                <c:pt idx="24">
                  <c:v>0.70779000000000003</c:v>
                </c:pt>
                <c:pt idx="25">
                  <c:v>0.71138000000000001</c:v>
                </c:pt>
                <c:pt idx="26">
                  <c:v>0.71567000000000003</c:v>
                </c:pt>
                <c:pt idx="27">
                  <c:v>0.72057000000000004</c:v>
                </c:pt>
                <c:pt idx="28">
                  <c:v>0.72601000000000004</c:v>
                </c:pt>
                <c:pt idx="29">
                  <c:v>0.73194000000000004</c:v>
                </c:pt>
                <c:pt idx="30">
                  <c:v>0.73829</c:v>
                </c:pt>
                <c:pt idx="31">
                  <c:v>0.74500999999999995</c:v>
                </c:pt>
                <c:pt idx="32">
                  <c:v>0.75205999999999995</c:v>
                </c:pt>
                <c:pt idx="33">
                  <c:v>0.75941000000000003</c:v>
                </c:pt>
                <c:pt idx="34">
                  <c:v>0.76702000000000004</c:v>
                </c:pt>
                <c:pt idx="35">
                  <c:v>0.77485999999999999</c:v>
                </c:pt>
                <c:pt idx="36">
                  <c:v>0.78290000000000004</c:v>
                </c:pt>
                <c:pt idx="37">
                  <c:v>0.79113</c:v>
                </c:pt>
                <c:pt idx="38">
                  <c:v>0.79952000000000001</c:v>
                </c:pt>
                <c:pt idx="39">
                  <c:v>0.80806</c:v>
                </c:pt>
                <c:pt idx="40">
                  <c:v>0.81672</c:v>
                </c:pt>
                <c:pt idx="41">
                  <c:v>0.82550999999999997</c:v>
                </c:pt>
                <c:pt idx="42">
                  <c:v>0.83438999999999997</c:v>
                </c:pt>
                <c:pt idx="43">
                  <c:v>0.84336999999999995</c:v>
                </c:pt>
                <c:pt idx="44">
                  <c:v>0.85243999999999998</c:v>
                </c:pt>
                <c:pt idx="45">
                  <c:v>0.86158000000000001</c:v>
                </c:pt>
                <c:pt idx="46">
                  <c:v>0.87078999999999995</c:v>
                </c:pt>
                <c:pt idx="47">
                  <c:v>0.88005999999999995</c:v>
                </c:pt>
                <c:pt idx="48">
                  <c:v>0.88937999999999995</c:v>
                </c:pt>
                <c:pt idx="49">
                  <c:v>0.89875000000000005</c:v>
                </c:pt>
                <c:pt idx="50">
                  <c:v>0.90817000000000003</c:v>
                </c:pt>
                <c:pt idx="51">
                  <c:v>0.91762999999999995</c:v>
                </c:pt>
                <c:pt idx="52">
                  <c:v>0.92712000000000006</c:v>
                </c:pt>
                <c:pt idx="53">
                  <c:v>0.93664000000000003</c:v>
                </c:pt>
                <c:pt idx="54">
                  <c:v>0.94620000000000004</c:v>
                </c:pt>
                <c:pt idx="55">
                  <c:v>0.95577999999999996</c:v>
                </c:pt>
                <c:pt idx="56">
                  <c:v>0.96538000000000002</c:v>
                </c:pt>
                <c:pt idx="57">
                  <c:v>0.97499999999999998</c:v>
                </c:pt>
                <c:pt idx="58">
                  <c:v>0.98463999999999996</c:v>
                </c:pt>
                <c:pt idx="59">
                  <c:v>0.99429999999999996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182080"/>
        <c:axId val="1457144000"/>
      </c:scatterChart>
      <c:valAx>
        <c:axId val="1457180960"/>
        <c:scaling>
          <c:orientation val="minMax"/>
          <c:max val="6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457184880"/>
        <c:crossesAt val="0"/>
        <c:crossBetween val="midCat"/>
      </c:valAx>
      <c:valAx>
        <c:axId val="1457184880"/>
        <c:scaling>
          <c:orientation val="minMax"/>
          <c:max val="0.99429999999999996"/>
          <c:min val="0.70209999999999995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457180960"/>
        <c:crossesAt val="0"/>
        <c:crossBetween val="midCat"/>
      </c:valAx>
      <c:valAx>
        <c:axId val="1457144000"/>
        <c:scaling>
          <c:orientation val="minMax"/>
          <c:max val="0.99429999999999996"/>
          <c:min val="0.70209999999999995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457182080"/>
        <c:crosses val="max"/>
        <c:crossBetween val="midCat"/>
      </c:valAx>
      <c:valAx>
        <c:axId val="1457182080"/>
        <c:scaling>
          <c:orientation val="minMax"/>
          <c:max val="6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457144000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Viscosity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91385972586768E-2"/>
          <c:y val="0.17883971400126705"/>
          <c:w val="0.82189778361038213"/>
          <c:h val="0.68768488497761304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Plots!$B$10:$B$30</c:f>
              <c:numCache>
                <c:formatCode>0.0</c:formatCode>
                <c:ptCount val="21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Plots!$E$10:$E$30</c:f>
              <c:numCache>
                <c:formatCode>0.0000</c:formatCode>
                <c:ptCount val="21"/>
                <c:pt idx="0">
                  <c:v>1.4124522684196715E-2</c:v>
                </c:pt>
                <c:pt idx="1">
                  <c:v>1.4897983275331685E-2</c:v>
                </c:pt>
                <c:pt idx="2">
                  <c:v>1.5905175436908957E-2</c:v>
                </c:pt>
                <c:pt idx="3">
                  <c:v>1.7113118825496536E-2</c:v>
                </c:pt>
                <c:pt idx="4">
                  <c:v>1.8484885927308119E-2</c:v>
                </c:pt>
                <c:pt idx="5">
                  <c:v>1.9980612397682236E-2</c:v>
                </c:pt>
                <c:pt idx="6">
                  <c:v>2.1563370701233712E-2</c:v>
                </c:pt>
                <c:pt idx="7">
                  <c:v>2.3202321893809018E-2</c:v>
                </c:pt>
                <c:pt idx="8">
                  <c:v>2.487365344488127E-2</c:v>
                </c:pt>
                <c:pt idx="9">
                  <c:v>2.6559910803918441E-2</c:v>
                </c:pt>
                <c:pt idx="10">
                  <c:v>2.8248938466059078E-2</c:v>
                </c:pt>
                <c:pt idx="11">
                  <c:v>2.9931722296240238E-2</c:v>
                </c:pt>
                <c:pt idx="12">
                  <c:v>3.160254250234782E-2</c:v>
                </c:pt>
                <c:pt idx="13">
                  <c:v>3.3257332494720446E-2</c:v>
                </c:pt>
                <c:pt idx="14">
                  <c:v>3.4892742249052706E-2</c:v>
                </c:pt>
                <c:pt idx="15">
                  <c:v>3.6507983148779788E-2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178160"/>
        <c:axId val="1457129440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'Gas Properties'!$B$10:$B$69</c:f>
              <c:numCache>
                <c:formatCode>General</c:formatCode>
                <c:ptCount val="6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</c:numCache>
            </c:numRef>
          </c:xVal>
          <c:yVal>
            <c:numRef>
              <c:f>'Gas Properties'!$T$10:$T$69</c:f>
              <c:numCache>
                <c:formatCode>0.00000</c:formatCode>
                <c:ptCount val="60"/>
                <c:pt idx="0">
                  <c:v>1.0573911632790811E-2</c:v>
                </c:pt>
                <c:pt idx="1">
                  <c:v>1.0724189586371672E-2</c:v>
                </c:pt>
                <c:pt idx="2">
                  <c:v>1.0903590327381384E-2</c:v>
                </c:pt>
                <c:pt idx="3">
                  <c:v>1.1110026958125584E-2</c:v>
                </c:pt>
                <c:pt idx="4">
                  <c:v>1.1343587967741138E-2</c:v>
                </c:pt>
                <c:pt idx="5">
                  <c:v>1.1605229450960777E-2</c:v>
                </c:pt>
                <c:pt idx="6">
                  <c:v>1.1896362130761721E-2</c:v>
                </c:pt>
                <c:pt idx="7">
                  <c:v>1.2218609999579856E-2</c:v>
                </c:pt>
                <c:pt idx="8">
                  <c:v>1.2573661863922619E-2</c:v>
                </c:pt>
                <c:pt idx="9">
                  <c:v>1.2962957119726729E-2</c:v>
                </c:pt>
                <c:pt idx="10">
                  <c:v>1.3387708482068538E-2</c:v>
                </c:pt>
                <c:pt idx="11">
                  <c:v>1.3848520832295437E-2</c:v>
                </c:pt>
                <c:pt idx="12">
                  <c:v>1.4345420124304049E-2</c:v>
                </c:pt>
                <c:pt idx="13">
                  <c:v>1.4877602097269241E-2</c:v>
                </c:pt>
                <c:pt idx="14">
                  <c:v>1.5443355159567591E-2</c:v>
                </c:pt>
                <c:pt idx="15">
                  <c:v>1.604021218751633E-2</c:v>
                </c:pt>
                <c:pt idx="16">
                  <c:v>1.6665227312655784E-2</c:v>
                </c:pt>
                <c:pt idx="17">
                  <c:v>1.7314567984208856E-2</c:v>
                </c:pt>
                <c:pt idx="18">
                  <c:v>1.7984681009526955E-2</c:v>
                </c:pt>
                <c:pt idx="19">
                  <c:v>1.8671504965979552E-2</c:v>
                </c:pt>
                <c:pt idx="20">
                  <c:v>1.9371520859336164E-2</c:v>
                </c:pt>
                <c:pt idx="21">
                  <c:v>2.008114842739887E-2</c:v>
                </c:pt>
                <c:pt idx="22">
                  <c:v>2.0797282548455094E-2</c:v>
                </c:pt>
                <c:pt idx="23">
                  <c:v>2.1517526803269765E-2</c:v>
                </c:pt>
                <c:pt idx="24">
                  <c:v>2.2239547916810518E-2</c:v>
                </c:pt>
                <c:pt idx="25">
                  <c:v>2.2961581081816826E-2</c:v>
                </c:pt>
                <c:pt idx="26">
                  <c:v>2.3681844934746024E-2</c:v>
                </c:pt>
                <c:pt idx="27">
                  <c:v>2.4399438210604498E-2</c:v>
                </c:pt>
                <c:pt idx="28">
                  <c:v>2.5113372144169917E-2</c:v>
                </c:pt>
                <c:pt idx="29">
                  <c:v>2.5822397267756605E-2</c:v>
                </c:pt>
                <c:pt idx="30">
                  <c:v>2.6526452494118238E-2</c:v>
                </c:pt>
                <c:pt idx="31">
                  <c:v>2.7225163170898601E-2</c:v>
                </c:pt>
                <c:pt idx="32">
                  <c:v>2.7918098715653764E-2</c:v>
                </c:pt>
                <c:pt idx="33">
                  <c:v>2.860468215176451E-2</c:v>
                </c:pt>
                <c:pt idx="34">
                  <c:v>2.928505645133269E-2</c:v>
                </c:pt>
                <c:pt idx="35">
                  <c:v>2.9959178145555036E-2</c:v>
                </c:pt>
                <c:pt idx="36">
                  <c:v>3.0627237484547744E-2</c:v>
                </c:pt>
                <c:pt idx="37">
                  <c:v>3.1288599301640685E-2</c:v>
                </c:pt>
                <c:pt idx="38">
                  <c:v>3.1943807940231363E-2</c:v>
                </c:pt>
                <c:pt idx="39">
                  <c:v>3.2592509709220764E-2</c:v>
                </c:pt>
                <c:pt idx="40">
                  <c:v>3.3235582863443101E-2</c:v>
                </c:pt>
                <c:pt idx="41">
                  <c:v>3.3871763759694806E-2</c:v>
                </c:pt>
                <c:pt idx="42">
                  <c:v>3.4502755375682932E-2</c:v>
                </c:pt>
                <c:pt idx="43">
                  <c:v>3.5127438994877795E-2</c:v>
                </c:pt>
                <c:pt idx="44">
                  <c:v>3.5745915070545274E-2</c:v>
                </c:pt>
                <c:pt idx="45">
                  <c:v>3.6358995757780843E-2</c:v>
                </c:pt>
                <c:pt idx="46">
                  <c:v>3.6966310197822823E-2</c:v>
                </c:pt>
                <c:pt idx="47">
                  <c:v>3.7568166746709056E-2</c:v>
                </c:pt>
                <c:pt idx="48">
                  <c:v>3.8164936685018386E-2</c:v>
                </c:pt>
                <c:pt idx="49">
                  <c:v>3.8756364814583028E-2</c:v>
                </c:pt>
                <c:pt idx="50">
                  <c:v>3.9342208071822489E-2</c:v>
                </c:pt>
                <c:pt idx="51">
                  <c:v>3.9922943305803552E-2</c:v>
                </c:pt>
                <c:pt idx="52">
                  <c:v>4.049910099022392E-2</c:v>
                </c:pt>
                <c:pt idx="53">
                  <c:v>4.107053360269125E-2</c:v>
                </c:pt>
                <c:pt idx="54">
                  <c:v>4.1636363078000893E-2</c:v>
                </c:pt>
                <c:pt idx="55">
                  <c:v>4.2197924862458956E-2</c:v>
                </c:pt>
                <c:pt idx="56">
                  <c:v>4.275512359141443E-2</c:v>
                </c:pt>
                <c:pt idx="57">
                  <c:v>4.3307869689598336E-2</c:v>
                </c:pt>
                <c:pt idx="58">
                  <c:v>4.3856079182075423E-2</c:v>
                </c:pt>
                <c:pt idx="59">
                  <c:v>4.4399673508955594E-2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137280"/>
        <c:axId val="1457169200"/>
      </c:scatterChart>
      <c:valAx>
        <c:axId val="1457178160"/>
        <c:scaling>
          <c:orientation val="minMax"/>
          <c:max val="6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457129440"/>
        <c:crossesAt val="0"/>
        <c:crossBetween val="midCat"/>
      </c:valAx>
      <c:valAx>
        <c:axId val="1457129440"/>
        <c:scaling>
          <c:orientation val="minMax"/>
          <c:max val="4.4399673508955594E-2"/>
          <c:min val="1.0573911632790811E-2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457178160"/>
        <c:crossesAt val="0"/>
        <c:crossBetween val="midCat"/>
      </c:valAx>
      <c:valAx>
        <c:axId val="1457169200"/>
        <c:scaling>
          <c:orientation val="minMax"/>
          <c:max val="4.4399673508955594E-2"/>
          <c:min val="1.0573911632790811E-2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457137280"/>
        <c:crosses val="max"/>
        <c:crossBetween val="midCat"/>
      </c:valAx>
      <c:valAx>
        <c:axId val="1457137280"/>
        <c:scaling>
          <c:orientation val="minMax"/>
          <c:max val="6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457169200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FVF (B</a:t>
            </a:r>
            <a:r>
              <a:rPr lang="es-BO" sz="1200" baseline="-25000">
                <a:solidFill>
                  <a:srgbClr val="0000FF"/>
                </a:solidFill>
              </a:rPr>
              <a:t>g</a:t>
            </a:r>
            <a:r>
              <a:rPr lang="es-BO" sz="1200">
                <a:solidFill>
                  <a:srgbClr val="0000FF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710830417031188E-2"/>
          <c:y val="0.17883971400126705"/>
          <c:w val="0.82479130212890051"/>
          <c:h val="0.69748880654624068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Plots!$B$10:$B$30</c:f>
              <c:numCache>
                <c:formatCode>0.0</c:formatCode>
                <c:ptCount val="21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Plots!$F$10:$F$30</c:f>
              <c:numCache>
                <c:formatCode>0.0000</c:formatCode>
                <c:ptCount val="21"/>
                <c:pt idx="0">
                  <c:v>3.6945400959999999E-2</c:v>
                </c:pt>
                <c:pt idx="1">
                  <c:v>1.7883834080000001E-2</c:v>
                </c:pt>
                <c:pt idx="2">
                  <c:v>1.1662120586666666E-2</c:v>
                </c:pt>
                <c:pt idx="3">
                  <c:v>8.6499855600000002E-3</c:v>
                </c:pt>
                <c:pt idx="4">
                  <c:v>6.9150619840000005E-3</c:v>
                </c:pt>
                <c:pt idx="5">
                  <c:v>5.8098918933333328E-3</c:v>
                </c:pt>
                <c:pt idx="6">
                  <c:v>5.0560036114285709E-3</c:v>
                </c:pt>
                <c:pt idx="7">
                  <c:v>4.5148348399999998E-3</c:v>
                </c:pt>
                <c:pt idx="8">
                  <c:v>4.110432871111111E-3</c:v>
                </c:pt>
                <c:pt idx="9">
                  <c:v>3.7981882799999994E-3</c:v>
                </c:pt>
                <c:pt idx="10">
                  <c:v>3.5504480218181813E-3</c:v>
                </c:pt>
                <c:pt idx="11">
                  <c:v>3.3494181999999999E-3</c:v>
                </c:pt>
                <c:pt idx="12">
                  <c:v>3.183105630769231E-3</c:v>
                </c:pt>
                <c:pt idx="13">
                  <c:v>3.0432461600000005E-3</c:v>
                </c:pt>
                <c:pt idx="14">
                  <c:v>2.9240103359999998E-3</c:v>
                </c:pt>
                <c:pt idx="15">
                  <c:v>2.8210501249999998E-3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170880"/>
        <c:axId val="1457175920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'Gas Properties'!$B$10:$B$69</c:f>
              <c:numCache>
                <c:formatCode>General</c:formatCode>
                <c:ptCount val="6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</c:numCache>
            </c:numRef>
          </c:xVal>
          <c:yVal>
            <c:numRef>
              <c:f>'Gas Properties'!$R$10:$R$69</c:f>
              <c:numCache>
                <c:formatCode>0.00000</c:formatCode>
                <c:ptCount val="60"/>
                <c:pt idx="0">
                  <c:v>0.14389746279999999</c:v>
                </c:pt>
                <c:pt idx="1">
                  <c:v>7.0335122E-2</c:v>
                </c:pt>
                <c:pt idx="2">
                  <c:v>4.5828567199999996E-2</c:v>
                </c:pt>
                <c:pt idx="3">
                  <c:v>3.3588902099999998E-2</c:v>
                </c:pt>
                <c:pt idx="4">
                  <c:v>2.6257758799999999E-2</c:v>
                </c:pt>
                <c:pt idx="5">
                  <c:v>2.1383329066666665E-2</c:v>
                </c:pt>
                <c:pt idx="6">
                  <c:v>1.7914837942857142E-2</c:v>
                </c:pt>
                <c:pt idx="7">
                  <c:v>1.5327081899999997E-2</c:v>
                </c:pt>
                <c:pt idx="8">
                  <c:v>1.33282812E-2</c:v>
                </c:pt>
                <c:pt idx="9">
                  <c:v>1.1743956639999999E-2</c:v>
                </c:pt>
                <c:pt idx="10">
                  <c:v>1.0462674654545454E-2</c:v>
                </c:pt>
                <c:pt idx="11">
                  <c:v>9.410391466666666E-3</c:v>
                </c:pt>
                <c:pt idx="12">
                  <c:v>8.5355063999999984E-3</c:v>
                </c:pt>
                <c:pt idx="13">
                  <c:v>7.8010567142857137E-3</c:v>
                </c:pt>
                <c:pt idx="14">
                  <c:v>7.1797401866666669E-3</c:v>
                </c:pt>
                <c:pt idx="15">
                  <c:v>6.6507122499999995E-3</c:v>
                </c:pt>
                <c:pt idx="16">
                  <c:v>6.1976001176470589E-3</c:v>
                </c:pt>
                <c:pt idx="17">
                  <c:v>5.8076693999999998E-3</c:v>
                </c:pt>
                <c:pt idx="18">
                  <c:v>5.4703244631578943E-3</c:v>
                </c:pt>
                <c:pt idx="19">
                  <c:v>5.1771623799999993E-3</c:v>
                </c:pt>
                <c:pt idx="20">
                  <c:v>4.9211004761904762E-3</c:v>
                </c:pt>
                <c:pt idx="21">
                  <c:v>4.6964107272727262E-3</c:v>
                </c:pt>
                <c:pt idx="22">
                  <c:v>4.4982973043478256E-3</c:v>
                </c:pt>
                <c:pt idx="23">
                  <c:v>4.3227023666666661E-3</c:v>
                </c:pt>
                <c:pt idx="24">
                  <c:v>4.1663350560000008E-3</c:v>
                </c:pt>
                <c:pt idx="25">
                  <c:v>4.0264108000000005E-3</c:v>
                </c:pt>
                <c:pt idx="26">
                  <c:v>3.9006665629629633E-3</c:v>
                </c:pt>
                <c:pt idx="27">
                  <c:v>3.787110042857143E-3</c:v>
                </c:pt>
                <c:pt idx="28">
                  <c:v>3.6841252275862067E-3</c:v>
                </c:pt>
                <c:pt idx="29">
                  <c:v>3.59040968E-3</c:v>
                </c:pt>
                <c:pt idx="30">
                  <c:v>3.5047340774193546E-3</c:v>
                </c:pt>
                <c:pt idx="31">
                  <c:v>3.4261147374999995E-3</c:v>
                </c:pt>
                <c:pt idx="32">
                  <c:v>3.3537318060606058E-3</c:v>
                </c:pt>
                <c:pt idx="33">
                  <c:v>3.2869051647058823E-3</c:v>
                </c:pt>
                <c:pt idx="34">
                  <c:v>3.2249903771428574E-3</c:v>
                </c:pt>
                <c:pt idx="35">
                  <c:v>3.1674554888888886E-3</c:v>
                </c:pt>
                <c:pt idx="36">
                  <c:v>3.1138260540540543E-3</c:v>
                </c:pt>
                <c:pt idx="37">
                  <c:v>3.0637550210526315E-3</c:v>
                </c:pt>
                <c:pt idx="38">
                  <c:v>3.0168554666666668E-3</c:v>
                </c:pt>
                <c:pt idx="39">
                  <c:v>2.9728527399999999E-3</c:v>
                </c:pt>
                <c:pt idx="40">
                  <c:v>2.9314272E-3</c:v>
                </c:pt>
                <c:pt idx="41">
                  <c:v>2.8924297999999996E-3</c:v>
                </c:pt>
                <c:pt idx="42">
                  <c:v>2.855554241860465E-3</c:v>
                </c:pt>
                <c:pt idx="43">
                  <c:v>2.8206892999999996E-3</c:v>
                </c:pt>
                <c:pt idx="44">
                  <c:v>2.7876682311111104E-3</c:v>
                </c:pt>
                <c:pt idx="45">
                  <c:v>2.7563067999999999E-3</c:v>
                </c:pt>
                <c:pt idx="46">
                  <c:v>2.7264990723404252E-3</c:v>
                </c:pt>
                <c:pt idx="47">
                  <c:v>2.6981172833333328E-3</c:v>
                </c:pt>
                <c:pt idx="48">
                  <c:v>2.6710440979591833E-3</c:v>
                </c:pt>
                <c:pt idx="49">
                  <c:v>2.6452009999999998E-3</c:v>
                </c:pt>
                <c:pt idx="50">
                  <c:v>2.6205156313725488E-3</c:v>
                </c:pt>
                <c:pt idx="51">
                  <c:v>2.5968928999999998E-3</c:v>
                </c:pt>
                <c:pt idx="52">
                  <c:v>2.5742448905660379E-3</c:v>
                </c:pt>
                <c:pt idx="53">
                  <c:v>2.5525174518518522E-3</c:v>
                </c:pt>
                <c:pt idx="54">
                  <c:v>2.531687127272727E-3</c:v>
                </c:pt>
                <c:pt idx="55">
                  <c:v>2.5116532999999996E-3</c:v>
                </c:pt>
                <c:pt idx="56">
                  <c:v>2.4923740491228068E-3</c:v>
                </c:pt>
                <c:pt idx="57">
                  <c:v>2.4738103448275861E-3</c:v>
                </c:pt>
                <c:pt idx="58">
                  <c:v>2.4559258033898302E-3</c:v>
                </c:pt>
                <c:pt idx="59">
                  <c:v>2.4386864666666665E-3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183200"/>
        <c:axId val="1457178720"/>
      </c:scatterChart>
      <c:valAx>
        <c:axId val="1457170880"/>
        <c:scaling>
          <c:orientation val="minMax"/>
          <c:max val="6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457175920"/>
        <c:crossesAt val="0"/>
        <c:crossBetween val="midCat"/>
      </c:valAx>
      <c:valAx>
        <c:axId val="1457175920"/>
        <c:scaling>
          <c:orientation val="minMax"/>
          <c:max val="0.14389746279999999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457170880"/>
        <c:crossesAt val="0"/>
        <c:crossBetween val="midCat"/>
      </c:valAx>
      <c:valAx>
        <c:axId val="1457178720"/>
        <c:scaling>
          <c:orientation val="minMax"/>
          <c:max val="0.14389746279999999"/>
          <c:min val="0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457183200"/>
        <c:crosses val="max"/>
        <c:crossBetween val="midCat"/>
      </c:valAx>
      <c:valAx>
        <c:axId val="1457183200"/>
        <c:scaling>
          <c:orientation val="minMax"/>
          <c:max val="6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457178720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Density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7883971400126705"/>
          <c:w val="0.84530568430719188"/>
          <c:h val="0.69748880654624068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Plots!$B$10:$B$30</c:f>
              <c:numCache>
                <c:formatCode>0.0</c:formatCode>
                <c:ptCount val="21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Plots!$G$10:$G$30</c:f>
              <c:numCache>
                <c:formatCode>0.000</c:formatCode>
                <c:ptCount val="21"/>
                <c:pt idx="0">
                  <c:v>1.364316582779161</c:v>
                </c:pt>
                <c:pt idx="1">
                  <c:v>2.8184796929827667</c:v>
                </c:pt>
                <c:pt idx="2">
                  <c:v>4.3221318809532434</c:v>
                </c:pt>
                <c:pt idx="3">
                  <c:v>5.8272031597649443</c:v>
                </c:pt>
                <c:pt idx="4">
                  <c:v>7.2891932572376401</c:v>
                </c:pt>
                <c:pt idx="5">
                  <c:v>8.6757592245376447</c:v>
                </c:pt>
                <c:pt idx="6">
                  <c:v>9.9693803764731026</c:v>
                </c:pt>
                <c:pt idx="7">
                  <c:v>11.164355945112078</c:v>
                </c:pt>
                <c:pt idx="8">
                  <c:v>12.262753040296667</c:v>
                </c:pt>
                <c:pt idx="9">
                  <c:v>13.270859544422883</c:v>
                </c:pt>
                <c:pt idx="10">
                  <c:v>14.196862727577876</c:v>
                </c:pt>
                <c:pt idx="11">
                  <c:v>15.048948855402156</c:v>
                </c:pt>
                <c:pt idx="12">
                  <c:v>15.8352342127497</c:v>
                </c:pt>
                <c:pt idx="13">
                  <c:v>16.562979311260559</c:v>
                </c:pt>
                <c:pt idx="14">
                  <c:v>17.238387486723692</c:v>
                </c:pt>
                <c:pt idx="15">
                  <c:v>17.867539020474915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849056"/>
        <c:axId val="1185830016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'Gas Properties'!$B$10:$B$69</c:f>
              <c:numCache>
                <c:formatCode>General</c:formatCode>
                <c:ptCount val="6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</c:numCache>
            </c:numRef>
          </c:xVal>
          <c:yVal>
            <c:numRef>
              <c:f>'Gas Properties'!$S$10:$S$69</c:f>
              <c:numCache>
                <c:formatCode>0.00000</c:formatCode>
                <c:ptCount val="60"/>
                <c:pt idx="0">
                  <c:v>0.35028569792929765</c:v>
                </c:pt>
                <c:pt idx="1">
                  <c:v>0.71664371588284359</c:v>
                </c:pt>
                <c:pt idx="2">
                  <c:v>1.0998646972134258</c:v>
                </c:pt>
                <c:pt idx="3">
                  <c:v>1.5006511090207126</c:v>
                </c:pt>
                <c:pt idx="4">
                  <c:v>1.9196315866513762</c:v>
                </c:pt>
                <c:pt idx="5">
                  <c:v>2.3572205726248288</c:v>
                </c:pt>
                <c:pt idx="6">
                  <c:v>2.8136019621238213</c:v>
                </c:pt>
                <c:pt idx="7">
                  <c:v>3.288637949220663</c:v>
                </c:pt>
                <c:pt idx="8">
                  <c:v>3.781824710237442</c:v>
                </c:pt>
                <c:pt idx="9">
                  <c:v>4.2920137337251907</c:v>
                </c:pt>
                <c:pt idx="10">
                  <c:v>4.8176231079932181</c:v>
                </c:pt>
                <c:pt idx="11">
                  <c:v>5.3563364888376528</c:v>
                </c:pt>
                <c:pt idx="12">
                  <c:v>5.9053582558561653</c:v>
                </c:pt>
                <c:pt idx="13">
                  <c:v>6.4613327441714894</c:v>
                </c:pt>
                <c:pt idx="14">
                  <c:v>7.0204801116284887</c:v>
                </c:pt>
                <c:pt idx="15">
                  <c:v>7.5789210677628009</c:v>
                </c:pt>
                <c:pt idx="16">
                  <c:v>8.1330228201766701</c:v>
                </c:pt>
                <c:pt idx="17">
                  <c:v>8.6790792856000287</c:v>
                </c:pt>
                <c:pt idx="18">
                  <c:v>9.2143022825478518</c:v>
                </c:pt>
                <c:pt idx="19">
                  <c:v>9.7360715170678382</c:v>
                </c:pt>
                <c:pt idx="20">
                  <c:v>10.242673042549386</c:v>
                </c:pt>
                <c:pt idx="21">
                  <c:v>10.732711875995603</c:v>
                </c:pt>
                <c:pt idx="22">
                  <c:v>11.205400571997322</c:v>
                </c:pt>
                <c:pt idx="23">
                  <c:v>11.660581486210845</c:v>
                </c:pt>
                <c:pt idx="24">
                  <c:v>12.098216420343784</c:v>
                </c:pt>
                <c:pt idx="25">
                  <c:v>12.518648913606418</c:v>
                </c:pt>
                <c:pt idx="26">
                  <c:v>12.922207621064928</c:v>
                </c:pt>
                <c:pt idx="27">
                  <c:v>13.30968010349271</c:v>
                </c:pt>
                <c:pt idx="28">
                  <c:v>13.681734488753525</c:v>
                </c:pt>
                <c:pt idx="29">
                  <c:v>14.03885006993217</c:v>
                </c:pt>
                <c:pt idx="30">
                  <c:v>14.38203928563621</c:v>
                </c:pt>
                <c:pt idx="31">
                  <c:v>14.712065137647231</c:v>
                </c:pt>
                <c:pt idx="32">
                  <c:v>15.029592734894512</c:v>
                </c:pt>
                <c:pt idx="33">
                  <c:v>15.335162002358375</c:v>
                </c:pt>
                <c:pt idx="34">
                  <c:v>15.629573205675444</c:v>
                </c:pt>
                <c:pt idx="35">
                  <c:v>15.913474826708548</c:v>
                </c:pt>
                <c:pt idx="36">
                  <c:v>16.187552648140997</c:v>
                </c:pt>
                <c:pt idx="37">
                  <c:v>16.452106268547258</c:v>
                </c:pt>
                <c:pt idx="38">
                  <c:v>16.707868091157192</c:v>
                </c:pt>
                <c:pt idx="39">
                  <c:v>16.955169863931147</c:v>
                </c:pt>
                <c:pt idx="40">
                  <c:v>17.19477228946813</c:v>
                </c:pt>
                <c:pt idx="41">
                  <c:v>17.42660208629891</c:v>
                </c:pt>
                <c:pt idx="42">
                  <c:v>17.651642699776868</c:v>
                </c:pt>
                <c:pt idx="43">
                  <c:v>17.869824651425859</c:v>
                </c:pt>
                <c:pt idx="44">
                  <c:v>18.081500023789626</c:v>
                </c:pt>
                <c:pt idx="45">
                  <c:v>18.287232461623336</c:v>
                </c:pt>
                <c:pt idx="46">
                  <c:v>18.487159485400202</c:v>
                </c:pt>
                <c:pt idx="47">
                  <c:v>18.681627925707161</c:v>
                </c:pt>
                <c:pt idx="48">
                  <c:v>18.870981286181443</c:v>
                </c:pt>
                <c:pt idx="49">
                  <c:v>19.055347093530184</c:v>
                </c:pt>
                <c:pt idx="50">
                  <c:v>19.234849273061716</c:v>
                </c:pt>
                <c:pt idx="51">
                  <c:v>19.409819783924533</c:v>
                </c:pt>
                <c:pt idx="52">
                  <c:v>19.580585892148662</c:v>
                </c:pt>
                <c:pt idx="53">
                  <c:v>19.747258985666932</c:v>
                </c:pt>
                <c:pt idx="54">
                  <c:v>19.909736335173619</c:v>
                </c:pt>
                <c:pt idx="55">
                  <c:v>20.068543372269232</c:v>
                </c:pt>
                <c:pt idx="56">
                  <c:v>20.223779494451605</c:v>
                </c:pt>
                <c:pt idx="57">
                  <c:v>20.375540628061433</c:v>
                </c:pt>
                <c:pt idx="58">
                  <c:v>20.523919378012369</c:v>
                </c:pt>
                <c:pt idx="59">
                  <c:v>20.669005169840396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808176"/>
        <c:axId val="1185789696"/>
      </c:scatterChart>
      <c:valAx>
        <c:axId val="1185849056"/>
        <c:scaling>
          <c:orientation val="minMax"/>
          <c:max val="6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185830016"/>
        <c:crossesAt val="0"/>
        <c:crossBetween val="midCat"/>
      </c:valAx>
      <c:valAx>
        <c:axId val="1185830016"/>
        <c:scaling>
          <c:orientation val="minMax"/>
          <c:max val="20.669005169840396"/>
          <c:min val="0.35028569792929765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185849056"/>
        <c:crossesAt val="0"/>
        <c:crossBetween val="midCat"/>
      </c:valAx>
      <c:valAx>
        <c:axId val="1185789696"/>
        <c:scaling>
          <c:orientation val="minMax"/>
          <c:max val="20.669005169840396"/>
          <c:min val="0.35028569792929765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185808176"/>
        <c:crosses val="max"/>
        <c:crossBetween val="midCat"/>
      </c:valAx>
      <c:valAx>
        <c:axId val="1185808176"/>
        <c:scaling>
          <c:orientation val="minMax"/>
          <c:max val="6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185789696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P'</a:t>
            </a:r>
            <a:r>
              <a:rPr lang="es-BO" baseline="-25000"/>
              <a:t>pc</a:t>
            </a:r>
            <a:r>
              <a:rPr lang="es-BO"/>
              <a:t>, psi</a:t>
            </a:r>
          </a:p>
        </c:rich>
      </c:tx>
      <c:layout>
        <c:manualLayout>
          <c:xMode val="edge"/>
          <c:yMode val="edge"/>
          <c:x val="0.82616120279215366"/>
          <c:y val="2.93212830440393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9767185590350825"/>
          <c:w val="0.63210607031679178"/>
          <c:h val="0.676773800221537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'Ppc-Tpc Prop from SGg'!$AA$1:$AB$1</c:f>
              <c:strCache>
                <c:ptCount val="1"/>
                <c:pt idx="0">
                  <c:v>(1) Standing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SGg'!$AB$25:$AB$35</c:f>
              <c:numCache>
                <c:formatCode>0.0</c:formatCode>
                <c:ptCount val="11"/>
                <c:pt idx="0">
                  <c:v>658.32161204943441</c:v>
                </c:pt>
                <c:pt idx="1">
                  <c:v>655.93947052417661</c:v>
                </c:pt>
                <c:pt idx="2">
                  <c:v>653.43017572078861</c:v>
                </c:pt>
                <c:pt idx="3">
                  <c:v>650.80295794589551</c:v>
                </c:pt>
                <c:pt idx="4">
                  <c:v>648.06552144084037</c:v>
                </c:pt>
                <c:pt idx="5">
                  <c:v>645.22434693306457</c:v>
                </c:pt>
                <c:pt idx="6">
                  <c:v>642.28492493342753</c:v>
                </c:pt>
                <c:pt idx="7">
                  <c:v>639.25193759261356</c:v>
                </c:pt>
                <c:pt idx="8">
                  <c:v>636.12940187888273</c:v>
                </c:pt>
                <c:pt idx="9">
                  <c:v>632.9207833445696</c:v>
                </c:pt>
                <c:pt idx="10">
                  <c:v>629.62908729489197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908192"/>
        <c:axId val="1197908752"/>
      </c:scatterChart>
      <c:scatterChart>
        <c:scatterStyle val="smoothMarker"/>
        <c:varyColors val="0"/>
        <c:ser>
          <c:idx val="3"/>
          <c:order val="0"/>
          <c:tx>
            <c:strRef>
              <c:f>'Ppc-Tpc Prop from SGg'!$AA$2:$AB$2</c:f>
              <c:strCache>
                <c:ptCount val="1"/>
                <c:pt idx="0">
                  <c:v>(2) Sutton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  <a:extLst/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SGg'!$AC$25:$AC$35</c:f>
              <c:numCache>
                <c:formatCode>0.0</c:formatCode>
                <c:ptCount val="11"/>
                <c:pt idx="0">
                  <c:v>670.46288722609495</c:v>
                </c:pt>
                <c:pt idx="1">
                  <c:v>664.70942585514013</c:v>
                </c:pt>
                <c:pt idx="2">
                  <c:v>658.84357951386266</c:v>
                </c:pt>
                <c:pt idx="3">
                  <c:v>652.87830360366843</c:v>
                </c:pt>
                <c:pt idx="4">
                  <c:v>646.82428689139954</c:v>
                </c:pt>
                <c:pt idx="5">
                  <c:v>640.69042647430922</c:v>
                </c:pt>
                <c:pt idx="6">
                  <c:v>634.48418811860824</c:v>
                </c:pt>
                <c:pt idx="7">
                  <c:v>628.21188299792857</c:v>
                </c:pt>
                <c:pt idx="8">
                  <c:v>621.87888261764238</c:v>
                </c:pt>
                <c:pt idx="9">
                  <c:v>615.48978745547254</c:v>
                </c:pt>
                <c:pt idx="10">
                  <c:v>609.04856054399966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'Ppc-Tpc Prop from SGg'!$AA$3:$AB$3</c:f>
              <c:strCache>
                <c:ptCount val="1"/>
                <c:pt idx="0">
                  <c:v>(3) Ahmed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SGg'!$AD$25:$AD$35</c:f>
              <c:numCache>
                <c:formatCode>0.0</c:formatCode>
                <c:ptCount val="11"/>
                <c:pt idx="0">
                  <c:v>703.33399999999995</c:v>
                </c:pt>
                <c:pt idx="1">
                  <c:v>700.83399999999995</c:v>
                </c:pt>
                <c:pt idx="2">
                  <c:v>698.33399999999995</c:v>
                </c:pt>
                <c:pt idx="3">
                  <c:v>695.83399999999995</c:v>
                </c:pt>
                <c:pt idx="4">
                  <c:v>693.33399999999995</c:v>
                </c:pt>
                <c:pt idx="5">
                  <c:v>690.83399999999995</c:v>
                </c:pt>
                <c:pt idx="6">
                  <c:v>688.33399999999995</c:v>
                </c:pt>
                <c:pt idx="7">
                  <c:v>685.83399999999995</c:v>
                </c:pt>
                <c:pt idx="8">
                  <c:v>683.33399999999995</c:v>
                </c:pt>
                <c:pt idx="9">
                  <c:v>680.83399999999995</c:v>
                </c:pt>
                <c:pt idx="10">
                  <c:v>678.33399999999995</c:v>
                </c:pt>
              </c:numCache>
            </c:numRef>
          </c:yVal>
          <c:smooth val="1"/>
        </c:ser>
        <c:ser>
          <c:idx val="0"/>
          <c:order val="3"/>
          <c:tx>
            <c:strRef>
              <c:f>'Ppc-Tpc Prop from SGg'!$AA$4:$AB$4</c:f>
              <c:strCache>
                <c:ptCount val="1"/>
                <c:pt idx="0">
                  <c:v>(4) Piper et al.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SGg'!$AE$25:$AE$35</c:f>
              <c:numCache>
                <c:formatCode>0.0</c:formatCode>
                <c:ptCount val="11"/>
                <c:pt idx="0">
                  <c:v>726.90823063503365</c:v>
                </c:pt>
                <c:pt idx="1">
                  <c:v>714.03999145720491</c:v>
                </c:pt>
                <c:pt idx="2">
                  <c:v>702.53721835065039</c:v>
                </c:pt>
                <c:pt idx="3">
                  <c:v>692.12294189939803</c:v>
                </c:pt>
                <c:pt idx="4">
                  <c:v>682.58823161129681</c:v>
                </c:pt>
                <c:pt idx="5">
                  <c:v>673.77247503139438</c:v>
                </c:pt>
                <c:pt idx="6">
                  <c:v>665.55013393895717</c:v>
                </c:pt>
                <c:pt idx="7">
                  <c:v>657.82162596203329</c:v>
                </c:pt>
                <c:pt idx="8">
                  <c:v>650.50690713796052</c:v>
                </c:pt>
                <c:pt idx="9">
                  <c:v>643.54086637874786</c:v>
                </c:pt>
                <c:pt idx="10">
                  <c:v>636.86996207092034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'Ppc-Tpc Prop from SGg'!$AA$5:$AB$5</c:f>
              <c:strCache>
                <c:ptCount val="1"/>
                <c:pt idx="0">
                  <c:v>(5) Elsharkawy et al.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SGg'!$AF$25:$AF$35</c:f>
              <c:numCache>
                <c:formatCode>0.0</c:formatCode>
                <c:ptCount val="11"/>
                <c:pt idx="0">
                  <c:v>689.94806418042333</c:v>
                </c:pt>
                <c:pt idx="1">
                  <c:v>683.3371314508089</c:v>
                </c:pt>
                <c:pt idx="2">
                  <c:v>676.5697449677757</c:v>
                </c:pt>
                <c:pt idx="3">
                  <c:v>669.66282685521367</c:v>
                </c:pt>
                <c:pt idx="4">
                  <c:v>662.63019250356911</c:v>
                </c:pt>
                <c:pt idx="5">
                  <c:v>655.48323268408296</c:v>
                </c:pt>
                <c:pt idx="6">
                  <c:v>648.23142352968034</c:v>
                </c:pt>
                <c:pt idx="7">
                  <c:v>640.88271301674808</c:v>
                </c:pt>
                <c:pt idx="8">
                  <c:v>633.44381748739397</c:v>
                </c:pt>
                <c:pt idx="9">
                  <c:v>625.92045173086387</c:v>
                </c:pt>
                <c:pt idx="10">
                  <c:v>618.31750936890546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'Ppc-Tpc Prop from SGg'!$AA$6:$AB$6</c:f>
              <c:strCache>
                <c:ptCount val="1"/>
                <c:pt idx="0">
                  <c:v>(6) Gua Ghalambor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SGg'!$AG$25:$AG$35</c:f>
              <c:numCache>
                <c:formatCode>0.0</c:formatCode>
                <c:ptCount val="11"/>
                <c:pt idx="0">
                  <c:v>660.52319243776196</c:v>
                </c:pt>
                <c:pt idx="1">
                  <c:v>658.56069796478982</c:v>
                </c:pt>
                <c:pt idx="2">
                  <c:v>656.51394870563104</c:v>
                </c:pt>
                <c:pt idx="3">
                  <c:v>654.3934300943688</c:v>
                </c:pt>
                <c:pt idx="4">
                  <c:v>652.20795699468476</c:v>
                </c:pt>
                <c:pt idx="5">
                  <c:v>649.96499365604654</c:v>
                </c:pt>
                <c:pt idx="6">
                  <c:v>647.67090284718347</c:v>
                </c:pt>
                <c:pt idx="7">
                  <c:v>645.33114180560949</c:v>
                </c:pt>
                <c:pt idx="8">
                  <c:v>642.9504177938386</c:v>
                </c:pt>
                <c:pt idx="9">
                  <c:v>640.53281265414091</c:v>
                </c:pt>
                <c:pt idx="10">
                  <c:v>638.0818833382607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230624"/>
        <c:axId val="1197909312"/>
      </c:scatterChart>
      <c:valAx>
        <c:axId val="1197908192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197908752"/>
        <c:crossesAt val="0"/>
        <c:crossBetween val="midCat"/>
      </c:valAx>
      <c:valAx>
        <c:axId val="1197908752"/>
        <c:scaling>
          <c:orientation val="minMax"/>
          <c:max val="740"/>
          <c:min val="62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197908192"/>
        <c:crossesAt val="0"/>
        <c:crossBetween val="midCat"/>
      </c:valAx>
      <c:valAx>
        <c:axId val="1197909312"/>
        <c:scaling>
          <c:orientation val="minMax"/>
          <c:max val="740"/>
          <c:min val="62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959230624"/>
        <c:crosses val="max"/>
        <c:crossBetween val="midCat"/>
      </c:valAx>
      <c:valAx>
        <c:axId val="959230624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119790931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egendEntry>
        <c:idx val="3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ayout>
        <c:manualLayout>
          <c:xMode val="edge"/>
          <c:yMode val="edge"/>
          <c:x val="0.77356212660565116"/>
          <c:y val="0.18841519119502326"/>
          <c:w val="0.20570207754470371"/>
          <c:h val="0.71412573773582166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9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BO" sz="1600">
                <a:latin typeface="Arial" panose="020B0604020202020204" pitchFamily="34" charset="0"/>
                <a:cs typeface="Arial" panose="020B0604020202020204" pitchFamily="34" charset="0"/>
              </a:rPr>
              <a:t>T'</a:t>
            </a:r>
            <a:r>
              <a:rPr lang="es-BO" sz="1600" baseline="-25000">
                <a:latin typeface="Arial" panose="020B0604020202020204" pitchFamily="34" charset="0"/>
                <a:cs typeface="Arial" panose="020B0604020202020204" pitchFamily="34" charset="0"/>
              </a:rPr>
              <a:t>pc</a:t>
            </a:r>
            <a:r>
              <a:rPr lang="es-BO" sz="1600">
                <a:latin typeface="Arial" panose="020B0604020202020204" pitchFamily="34" charset="0"/>
                <a:cs typeface="Arial" panose="020B0604020202020204" pitchFamily="34" charset="0"/>
              </a:rPr>
              <a:t>, ºR</a:t>
            </a:r>
          </a:p>
        </c:rich>
      </c:tx>
      <c:layout>
        <c:manualLayout>
          <c:xMode val="edge"/>
          <c:yMode val="edge"/>
          <c:x val="0.81300825277336386"/>
          <c:y val="4.773766259986732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9767185590350825"/>
          <c:w val="0.63210607031679178"/>
          <c:h val="0.676773800221537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'Ppc-Tpc Prop from SGg'!$AA$1:$AB$1</c:f>
              <c:strCache>
                <c:ptCount val="1"/>
                <c:pt idx="0">
                  <c:v>(1) Standing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SGg'!$AH$25:$AH$35</c:f>
              <c:numCache>
                <c:formatCode>0.0</c:formatCode>
                <c:ptCount val="11"/>
                <c:pt idx="0">
                  <c:v>324.90232117560095</c:v>
                </c:pt>
                <c:pt idx="1">
                  <c:v>337.64857117560098</c:v>
                </c:pt>
                <c:pt idx="2">
                  <c:v>350.03732117560094</c:v>
                </c:pt>
                <c:pt idx="3">
                  <c:v>362.06857117560094</c:v>
                </c:pt>
                <c:pt idx="4">
                  <c:v>373.74232117560092</c:v>
                </c:pt>
                <c:pt idx="5">
                  <c:v>385.05857117560095</c:v>
                </c:pt>
                <c:pt idx="6">
                  <c:v>396.01732117560096</c:v>
                </c:pt>
                <c:pt idx="7">
                  <c:v>406.61857117560095</c:v>
                </c:pt>
                <c:pt idx="8">
                  <c:v>416.86232117560093</c:v>
                </c:pt>
                <c:pt idx="9">
                  <c:v>426.74857117560094</c:v>
                </c:pt>
                <c:pt idx="10">
                  <c:v>436.27732117560095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874880"/>
        <c:axId val="1325875440"/>
      </c:scatterChart>
      <c:scatterChart>
        <c:scatterStyle val="smoothMarker"/>
        <c:varyColors val="0"/>
        <c:ser>
          <c:idx val="3"/>
          <c:order val="0"/>
          <c:tx>
            <c:strRef>
              <c:f>'Ppc-Tpc Prop from SGg'!$AA$2:$AB$2</c:f>
              <c:strCache>
                <c:ptCount val="1"/>
                <c:pt idx="0">
                  <c:v>(2) Sutton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  <a:extLst/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SGg'!$AI$25:$AI$35</c:f>
              <c:numCache>
                <c:formatCode>0.0</c:formatCode>
                <c:ptCount val="11"/>
                <c:pt idx="0">
                  <c:v>316.22732117560093</c:v>
                </c:pt>
                <c:pt idx="1">
                  <c:v>329.81732117560097</c:v>
                </c:pt>
                <c:pt idx="2">
                  <c:v>343.03732117560094</c:v>
                </c:pt>
                <c:pt idx="3">
                  <c:v>355.88732117560096</c:v>
                </c:pt>
                <c:pt idx="4">
                  <c:v>368.36732117560092</c:v>
                </c:pt>
                <c:pt idx="5">
                  <c:v>380.47732117560093</c:v>
                </c:pt>
                <c:pt idx="6">
                  <c:v>392.21732117560094</c:v>
                </c:pt>
                <c:pt idx="7">
                  <c:v>403.58732117560095</c:v>
                </c:pt>
                <c:pt idx="8">
                  <c:v>414.58732117560095</c:v>
                </c:pt>
                <c:pt idx="9">
                  <c:v>425.21732117560094</c:v>
                </c:pt>
                <c:pt idx="10">
                  <c:v>435.47732117560093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'Ppc-Tpc Prop from SGg'!$AA$3:$AB$3</c:f>
              <c:strCache>
                <c:ptCount val="1"/>
                <c:pt idx="0">
                  <c:v>(3) Ahmed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SGg'!$AJ$25:$AJ$35</c:f>
              <c:numCache>
                <c:formatCode>0.0</c:formatCode>
                <c:ptCount val="11"/>
                <c:pt idx="0">
                  <c:v>331.16500000000002</c:v>
                </c:pt>
                <c:pt idx="1">
                  <c:v>346.95</c:v>
                </c:pt>
                <c:pt idx="2">
                  <c:v>362.73500000000001</c:v>
                </c:pt>
                <c:pt idx="3">
                  <c:v>378.52</c:v>
                </c:pt>
                <c:pt idx="4">
                  <c:v>394.30500000000001</c:v>
                </c:pt>
                <c:pt idx="5">
                  <c:v>410.09</c:v>
                </c:pt>
                <c:pt idx="6">
                  <c:v>425.875</c:v>
                </c:pt>
                <c:pt idx="7">
                  <c:v>441.65999999999997</c:v>
                </c:pt>
                <c:pt idx="8">
                  <c:v>457.44499999999999</c:v>
                </c:pt>
                <c:pt idx="9">
                  <c:v>473.22999999999996</c:v>
                </c:pt>
                <c:pt idx="10">
                  <c:v>489.01499999999999</c:v>
                </c:pt>
              </c:numCache>
            </c:numRef>
          </c:yVal>
          <c:smooth val="1"/>
        </c:ser>
        <c:ser>
          <c:idx val="0"/>
          <c:order val="3"/>
          <c:tx>
            <c:strRef>
              <c:f>'Ppc-Tpc Prop from SGg'!$AA$4:$AB$4</c:f>
              <c:strCache>
                <c:ptCount val="1"/>
                <c:pt idx="0">
                  <c:v>(4) Piper et al.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SGg'!$AK$25:$AK$35</c:f>
              <c:numCache>
                <c:formatCode>0.0</c:formatCode>
                <c:ptCount val="11"/>
                <c:pt idx="0">
                  <c:v>311.29463350124234</c:v>
                </c:pt>
                <c:pt idx="1">
                  <c:v>327.30943967536041</c:v>
                </c:pt>
                <c:pt idx="2">
                  <c:v>342.86632024682882</c:v>
                </c:pt>
                <c:pt idx="3">
                  <c:v>357.96063370972036</c:v>
                </c:pt>
                <c:pt idx="4">
                  <c:v>372.58905927680041</c:v>
                </c:pt>
                <c:pt idx="5">
                  <c:v>386.74923274897213</c:v>
                </c:pt>
                <c:pt idx="6">
                  <c:v>400.43949919263986</c:v>
                </c:pt>
                <c:pt idx="7">
                  <c:v>413.65874106045362</c:v>
                </c:pt>
                <c:pt idx="8">
                  <c:v>426.40625633308895</c:v>
                </c:pt>
                <c:pt idx="9">
                  <c:v>438.68167060783128</c:v>
                </c:pt>
                <c:pt idx="10">
                  <c:v>450.48487271116892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'Ppc-Tpc Prop from SGg'!$AA$5:$AB$5</c:f>
              <c:strCache>
                <c:ptCount val="1"/>
                <c:pt idx="0">
                  <c:v>(5) Elsharkawy et al.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SGg'!$AL$25:$AL$35</c:f>
              <c:numCache>
                <c:formatCode>0.0</c:formatCode>
                <c:ptCount val="11"/>
                <c:pt idx="0">
                  <c:v>302.28332117560092</c:v>
                </c:pt>
                <c:pt idx="1">
                  <c:v>316.67408117560097</c:v>
                </c:pt>
                <c:pt idx="2">
                  <c:v>330.72996117560092</c:v>
                </c:pt>
                <c:pt idx="3">
                  <c:v>344.45096117560092</c:v>
                </c:pt>
                <c:pt idx="4">
                  <c:v>357.83708117560093</c:v>
                </c:pt>
                <c:pt idx="5">
                  <c:v>370.88832117560094</c:v>
                </c:pt>
                <c:pt idx="6">
                  <c:v>383.60468117560094</c:v>
                </c:pt>
                <c:pt idx="7">
                  <c:v>395.98616117560096</c:v>
                </c:pt>
                <c:pt idx="8">
                  <c:v>408.03276117560097</c:v>
                </c:pt>
                <c:pt idx="9">
                  <c:v>419.74448117560092</c:v>
                </c:pt>
                <c:pt idx="10">
                  <c:v>431.12132117560094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'Ppc-Tpc Prop from SGg'!$AA$6:$AB$6</c:f>
              <c:strCache>
                <c:ptCount val="1"/>
                <c:pt idx="0">
                  <c:v>(6) Gua Ghalambor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Prop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SGg'!$AM$25:$AM$35</c:f>
              <c:numCache>
                <c:formatCode>0.0</c:formatCode>
                <c:ptCount val="11"/>
                <c:pt idx="0">
                  <c:v>314.94032117560096</c:v>
                </c:pt>
                <c:pt idx="1">
                  <c:v>330.30752117560098</c:v>
                </c:pt>
                <c:pt idx="2">
                  <c:v>345.67472117560095</c:v>
                </c:pt>
                <c:pt idx="3">
                  <c:v>361.04192117560098</c:v>
                </c:pt>
                <c:pt idx="4">
                  <c:v>376.40912117560094</c:v>
                </c:pt>
                <c:pt idx="5">
                  <c:v>391.77632117560097</c:v>
                </c:pt>
                <c:pt idx="6">
                  <c:v>407.14352117560099</c:v>
                </c:pt>
                <c:pt idx="7">
                  <c:v>422.51072117560096</c:v>
                </c:pt>
                <c:pt idx="8">
                  <c:v>437.87792117560099</c:v>
                </c:pt>
                <c:pt idx="9">
                  <c:v>453.24512117560096</c:v>
                </c:pt>
                <c:pt idx="10">
                  <c:v>468.61232117560098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469600"/>
        <c:axId val="1197469040"/>
      </c:scatterChart>
      <c:valAx>
        <c:axId val="1325874880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325875440"/>
        <c:crossesAt val="0"/>
        <c:crossBetween val="midCat"/>
      </c:valAx>
      <c:valAx>
        <c:axId val="1325875440"/>
        <c:scaling>
          <c:orientation val="minMax"/>
          <c:max val="500"/>
          <c:min val="30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325874880"/>
        <c:crossesAt val="0"/>
        <c:crossBetween val="midCat"/>
      </c:valAx>
      <c:valAx>
        <c:axId val="1197469040"/>
        <c:scaling>
          <c:orientation val="minMax"/>
          <c:max val="500"/>
          <c:min val="30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1197469600"/>
        <c:crosses val="max"/>
        <c:crossBetween val="midCat"/>
      </c:valAx>
      <c:valAx>
        <c:axId val="1197469600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1197469040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egendEntry>
        <c:idx val="3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ayout>
        <c:manualLayout>
          <c:xMode val="edge"/>
          <c:yMode val="edge"/>
          <c:x val="0.77356212660565116"/>
          <c:y val="0.18841519119502326"/>
          <c:w val="0.20570207754470371"/>
          <c:h val="0.71412573773582166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9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P</a:t>
            </a:r>
            <a:r>
              <a:rPr lang="es-BO" baseline="-25000"/>
              <a:t>pc</a:t>
            </a:r>
            <a:r>
              <a:rPr lang="es-BO"/>
              <a:t>, psi</a:t>
            </a:r>
          </a:p>
        </c:rich>
      </c:tx>
      <c:layout>
        <c:manualLayout>
          <c:xMode val="edge"/>
          <c:yMode val="edge"/>
          <c:x val="0.82616120279215366"/>
          <c:y val="2.93212830440393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9767185590350825"/>
          <c:w val="0.63210607031679178"/>
          <c:h val="0.676773800221537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'Ppc-Tpc Prop from SGg'!$AA$1:$AB$1</c:f>
              <c:strCache>
                <c:ptCount val="1"/>
                <c:pt idx="0">
                  <c:v>(1) Standing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SGg'!$AB$10:$AB$20</c:f>
              <c:numCache>
                <c:formatCode>0.0</c:formatCode>
                <c:ptCount val="11"/>
                <c:pt idx="0">
                  <c:v>677.375</c:v>
                </c:pt>
                <c:pt idx="1">
                  <c:v>674.20725000000004</c:v>
                </c:pt>
                <c:pt idx="2">
                  <c:v>670.98400000000004</c:v>
                </c:pt>
                <c:pt idx="3">
                  <c:v>667.70524999999998</c:v>
                </c:pt>
                <c:pt idx="4">
                  <c:v>664.37099999999998</c:v>
                </c:pt>
                <c:pt idx="5">
                  <c:v>660.98125000000005</c:v>
                </c:pt>
                <c:pt idx="6">
                  <c:v>657.53599999999994</c:v>
                </c:pt>
                <c:pt idx="7">
                  <c:v>654.03525000000002</c:v>
                </c:pt>
                <c:pt idx="8">
                  <c:v>650.47900000000004</c:v>
                </c:pt>
                <c:pt idx="9">
                  <c:v>646.86725000000001</c:v>
                </c:pt>
                <c:pt idx="10">
                  <c:v>643.20000000000005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827856"/>
        <c:axId val="1092048304"/>
      </c:scatterChart>
      <c:scatterChart>
        <c:scatterStyle val="smoothMarker"/>
        <c:varyColors val="0"/>
        <c:ser>
          <c:idx val="3"/>
          <c:order val="0"/>
          <c:tx>
            <c:strRef>
              <c:f>'Ppc-Tpc Prop from SGg'!$AA$2:$AB$2</c:f>
              <c:strCache>
                <c:ptCount val="1"/>
                <c:pt idx="0">
                  <c:v>(2) Sutton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  <a:extLst/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SGg'!$AC$10:$AC$20</c:f>
              <c:numCache>
                <c:formatCode>0.0</c:formatCode>
                <c:ptCount val="11"/>
                <c:pt idx="0">
                  <c:v>690.4</c:v>
                </c:pt>
                <c:pt idx="1">
                  <c:v>683.66099999999994</c:v>
                </c:pt>
                <c:pt idx="2">
                  <c:v>676.904</c:v>
                </c:pt>
                <c:pt idx="3">
                  <c:v>670.12899999999991</c:v>
                </c:pt>
                <c:pt idx="4">
                  <c:v>663.33600000000001</c:v>
                </c:pt>
                <c:pt idx="5">
                  <c:v>656.52499999999998</c:v>
                </c:pt>
                <c:pt idx="6">
                  <c:v>649.69599999999991</c:v>
                </c:pt>
                <c:pt idx="7">
                  <c:v>642.84899999999993</c:v>
                </c:pt>
                <c:pt idx="8">
                  <c:v>635.98399999999992</c:v>
                </c:pt>
                <c:pt idx="9">
                  <c:v>629.101</c:v>
                </c:pt>
                <c:pt idx="10">
                  <c:v>622.19999999999993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'Ppc-Tpc Prop from SGg'!$AA$3:$AB$3</c:f>
              <c:strCache>
                <c:ptCount val="1"/>
                <c:pt idx="0">
                  <c:v>(3) Ahmed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SGg'!$AD$10:$AD$20</c:f>
              <c:numCache>
                <c:formatCode>0.0</c:formatCode>
                <c:ptCount val="11"/>
                <c:pt idx="0">
                  <c:v>703.33399999999995</c:v>
                </c:pt>
                <c:pt idx="1">
                  <c:v>700.83399999999995</c:v>
                </c:pt>
                <c:pt idx="2">
                  <c:v>698.33399999999995</c:v>
                </c:pt>
                <c:pt idx="3">
                  <c:v>695.83399999999995</c:v>
                </c:pt>
                <c:pt idx="4">
                  <c:v>693.33399999999995</c:v>
                </c:pt>
                <c:pt idx="5">
                  <c:v>690.83399999999995</c:v>
                </c:pt>
                <c:pt idx="6">
                  <c:v>688.33399999999995</c:v>
                </c:pt>
                <c:pt idx="7">
                  <c:v>685.83399999999995</c:v>
                </c:pt>
                <c:pt idx="8">
                  <c:v>683.33399999999995</c:v>
                </c:pt>
                <c:pt idx="9">
                  <c:v>680.83399999999995</c:v>
                </c:pt>
                <c:pt idx="10">
                  <c:v>678.33399999999995</c:v>
                </c:pt>
              </c:numCache>
            </c:numRef>
          </c:yVal>
          <c:smooth val="1"/>
        </c:ser>
        <c:ser>
          <c:idx val="0"/>
          <c:order val="3"/>
          <c:tx>
            <c:strRef>
              <c:f>'Ppc-Tpc Prop from SGg'!$AA$4:$AB$4</c:f>
              <c:strCache>
                <c:ptCount val="1"/>
                <c:pt idx="0">
                  <c:v>(4) Piper et al.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SGg'!$AE$10:$AE$20</c:f>
              <c:numCache>
                <c:formatCode>0.0</c:formatCode>
                <c:ptCount val="11"/>
                <c:pt idx="0">
                  <c:v>726.90823063503365</c:v>
                </c:pt>
                <c:pt idx="1">
                  <c:v>714.03999145720491</c:v>
                </c:pt>
                <c:pt idx="2">
                  <c:v>702.53721835065039</c:v>
                </c:pt>
                <c:pt idx="3">
                  <c:v>692.12294189939803</c:v>
                </c:pt>
                <c:pt idx="4">
                  <c:v>682.58823161129681</c:v>
                </c:pt>
                <c:pt idx="5">
                  <c:v>673.77247503139438</c:v>
                </c:pt>
                <c:pt idx="6">
                  <c:v>665.55013393895717</c:v>
                </c:pt>
                <c:pt idx="7">
                  <c:v>657.82162596203329</c:v>
                </c:pt>
                <c:pt idx="8">
                  <c:v>650.50690713796052</c:v>
                </c:pt>
                <c:pt idx="9">
                  <c:v>643.54086637874786</c:v>
                </c:pt>
                <c:pt idx="10">
                  <c:v>636.86996207092034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'Ppc-Tpc Prop from SGg'!$AA$5:$AB$5</c:f>
              <c:strCache>
                <c:ptCount val="1"/>
                <c:pt idx="0">
                  <c:v>(5) Elsharkawy et al.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SGg'!$AF$10:$AF$20</c:f>
              <c:numCache>
                <c:formatCode>0.0</c:formatCode>
                <c:ptCount val="11"/>
                <c:pt idx="0">
                  <c:v>711.41099999999994</c:v>
                </c:pt>
                <c:pt idx="1">
                  <c:v>703.62840999999992</c:v>
                </c:pt>
                <c:pt idx="2">
                  <c:v>695.80624</c:v>
                </c:pt>
                <c:pt idx="3">
                  <c:v>687.94448999999997</c:v>
                </c:pt>
                <c:pt idx="4">
                  <c:v>680.04315999999994</c:v>
                </c:pt>
                <c:pt idx="5">
                  <c:v>672.10224999999991</c:v>
                </c:pt>
                <c:pt idx="6">
                  <c:v>664.12175999999988</c:v>
                </c:pt>
                <c:pt idx="7">
                  <c:v>656.10168999999996</c:v>
                </c:pt>
                <c:pt idx="8">
                  <c:v>648.04203999999993</c:v>
                </c:pt>
                <c:pt idx="9">
                  <c:v>639.94280999999989</c:v>
                </c:pt>
                <c:pt idx="10">
                  <c:v>631.80399999999997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'Ppc-Tpc Prop from SGg'!$AA$6:$AB$6</c:f>
              <c:strCache>
                <c:ptCount val="1"/>
                <c:pt idx="0">
                  <c:v>(6) Gua Ghalambor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SGg'!$AG$10:$AG$20</c:f>
              <c:numCache>
                <c:formatCode>0.0</c:formatCode>
                <c:ptCount val="11"/>
                <c:pt idx="0">
                  <c:v>680.245</c:v>
                </c:pt>
                <c:pt idx="1">
                  <c:v>677.30910000000006</c:v>
                </c:pt>
                <c:pt idx="2">
                  <c:v>674.3732</c:v>
                </c:pt>
                <c:pt idx="3">
                  <c:v>671.43730000000005</c:v>
                </c:pt>
                <c:pt idx="4">
                  <c:v>668.50139999999999</c:v>
                </c:pt>
                <c:pt idx="5">
                  <c:v>665.56550000000004</c:v>
                </c:pt>
                <c:pt idx="6">
                  <c:v>662.62959999999998</c:v>
                </c:pt>
                <c:pt idx="7">
                  <c:v>659.69370000000004</c:v>
                </c:pt>
                <c:pt idx="8">
                  <c:v>656.75780000000009</c:v>
                </c:pt>
                <c:pt idx="9">
                  <c:v>653.82190000000003</c:v>
                </c:pt>
                <c:pt idx="10">
                  <c:v>650.88600000000008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49424"/>
        <c:axId val="1092048864"/>
      </c:scatterChart>
      <c:valAx>
        <c:axId val="1164827856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092048304"/>
        <c:crossesAt val="0"/>
        <c:crossBetween val="midCat"/>
      </c:valAx>
      <c:valAx>
        <c:axId val="1092048304"/>
        <c:scaling>
          <c:orientation val="minMax"/>
          <c:max val="740"/>
          <c:min val="62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164827856"/>
        <c:crossesAt val="0"/>
        <c:crossBetween val="midCat"/>
      </c:valAx>
      <c:valAx>
        <c:axId val="1092048864"/>
        <c:scaling>
          <c:orientation val="minMax"/>
          <c:max val="740"/>
          <c:min val="62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1092049424"/>
        <c:crosses val="max"/>
        <c:crossBetween val="midCat"/>
      </c:valAx>
      <c:valAx>
        <c:axId val="1092049424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109204886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egendEntry>
        <c:idx val="3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ayout>
        <c:manualLayout>
          <c:xMode val="edge"/>
          <c:yMode val="edge"/>
          <c:x val="0.77356212660565116"/>
          <c:y val="0.18841519119502326"/>
          <c:w val="0.20570207754470371"/>
          <c:h val="0.71412573773582166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9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BO" sz="1600">
                <a:latin typeface="Arial" panose="020B0604020202020204" pitchFamily="34" charset="0"/>
                <a:cs typeface="Arial" panose="020B0604020202020204" pitchFamily="34" charset="0"/>
              </a:rPr>
              <a:t>T</a:t>
            </a:r>
            <a:r>
              <a:rPr lang="es-BO" sz="1600" baseline="-25000">
                <a:latin typeface="Arial" panose="020B0604020202020204" pitchFamily="34" charset="0"/>
                <a:cs typeface="Arial" panose="020B0604020202020204" pitchFamily="34" charset="0"/>
              </a:rPr>
              <a:t>pc</a:t>
            </a:r>
            <a:r>
              <a:rPr lang="es-BO" sz="1600">
                <a:latin typeface="Arial" panose="020B0604020202020204" pitchFamily="34" charset="0"/>
                <a:cs typeface="Arial" panose="020B0604020202020204" pitchFamily="34" charset="0"/>
              </a:rPr>
              <a:t>, ºR</a:t>
            </a:r>
          </a:p>
        </c:rich>
      </c:tx>
      <c:layout>
        <c:manualLayout>
          <c:xMode val="edge"/>
          <c:yMode val="edge"/>
          <c:x val="0.8167662384930181"/>
          <c:y val="4.77374893055495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9767185590350825"/>
          <c:w val="0.63210607031679178"/>
          <c:h val="0.676773800221537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'Ppc-Tpc Prop from SGg'!$AA$1:$AB$1</c:f>
              <c:strCache>
                <c:ptCount val="1"/>
                <c:pt idx="0">
                  <c:v>(1) Standing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SGg'!$AH$10:$AH$20</c:f>
              <c:numCache>
                <c:formatCode>0.0</c:formatCode>
                <c:ptCount val="11"/>
                <c:pt idx="0">
                  <c:v>334.125</c:v>
                </c:pt>
                <c:pt idx="1">
                  <c:v>346.87125000000003</c:v>
                </c:pt>
                <c:pt idx="2">
                  <c:v>359.26</c:v>
                </c:pt>
                <c:pt idx="3">
                  <c:v>371.29124999999999</c:v>
                </c:pt>
                <c:pt idx="4">
                  <c:v>382.96499999999997</c:v>
                </c:pt>
                <c:pt idx="5">
                  <c:v>394.28125</c:v>
                </c:pt>
                <c:pt idx="6">
                  <c:v>405.24</c:v>
                </c:pt>
                <c:pt idx="7">
                  <c:v>415.84125</c:v>
                </c:pt>
                <c:pt idx="8">
                  <c:v>426.08499999999998</c:v>
                </c:pt>
                <c:pt idx="9">
                  <c:v>435.97125</c:v>
                </c:pt>
                <c:pt idx="10">
                  <c:v>445.5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55024"/>
        <c:axId val="1092055584"/>
      </c:scatterChart>
      <c:scatterChart>
        <c:scatterStyle val="smoothMarker"/>
        <c:varyColors val="0"/>
        <c:ser>
          <c:idx val="3"/>
          <c:order val="0"/>
          <c:tx>
            <c:strRef>
              <c:f>'Ppc-Tpc Prop from SGg'!$AA$2:$AB$2</c:f>
              <c:strCache>
                <c:ptCount val="1"/>
                <c:pt idx="0">
                  <c:v>(2) Sutton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  <a:extLst/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SGg'!$AI$10:$AI$20</c:f>
              <c:numCache>
                <c:formatCode>0.0</c:formatCode>
                <c:ptCount val="11"/>
                <c:pt idx="0">
                  <c:v>325.45</c:v>
                </c:pt>
                <c:pt idx="1">
                  <c:v>339.04</c:v>
                </c:pt>
                <c:pt idx="2">
                  <c:v>352.26</c:v>
                </c:pt>
                <c:pt idx="3">
                  <c:v>365.11</c:v>
                </c:pt>
                <c:pt idx="4">
                  <c:v>377.59</c:v>
                </c:pt>
                <c:pt idx="5">
                  <c:v>389.7</c:v>
                </c:pt>
                <c:pt idx="6">
                  <c:v>401.44</c:v>
                </c:pt>
                <c:pt idx="7">
                  <c:v>412.81</c:v>
                </c:pt>
                <c:pt idx="8">
                  <c:v>423.81</c:v>
                </c:pt>
                <c:pt idx="9">
                  <c:v>434.44</c:v>
                </c:pt>
                <c:pt idx="10">
                  <c:v>444.7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'Ppc-Tpc Prop from SGg'!$AA$3:$AB$3</c:f>
              <c:strCache>
                <c:ptCount val="1"/>
                <c:pt idx="0">
                  <c:v>(3) Ahmed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SGg'!$AJ$10:$AJ$20</c:f>
              <c:numCache>
                <c:formatCode>0.0</c:formatCode>
                <c:ptCount val="11"/>
                <c:pt idx="0">
                  <c:v>331.16500000000002</c:v>
                </c:pt>
                <c:pt idx="1">
                  <c:v>346.95</c:v>
                </c:pt>
                <c:pt idx="2">
                  <c:v>362.73500000000001</c:v>
                </c:pt>
                <c:pt idx="3">
                  <c:v>378.52</c:v>
                </c:pt>
                <c:pt idx="4">
                  <c:v>394.30500000000001</c:v>
                </c:pt>
                <c:pt idx="5">
                  <c:v>410.09</c:v>
                </c:pt>
                <c:pt idx="6">
                  <c:v>425.875</c:v>
                </c:pt>
                <c:pt idx="7">
                  <c:v>441.65999999999997</c:v>
                </c:pt>
                <c:pt idx="8">
                  <c:v>457.44499999999999</c:v>
                </c:pt>
                <c:pt idx="9">
                  <c:v>473.22999999999996</c:v>
                </c:pt>
                <c:pt idx="10">
                  <c:v>489.01499999999999</c:v>
                </c:pt>
              </c:numCache>
            </c:numRef>
          </c:yVal>
          <c:smooth val="1"/>
        </c:ser>
        <c:ser>
          <c:idx val="0"/>
          <c:order val="3"/>
          <c:tx>
            <c:strRef>
              <c:f>'Ppc-Tpc Prop from SGg'!$AA$4:$AB$4</c:f>
              <c:strCache>
                <c:ptCount val="1"/>
                <c:pt idx="0">
                  <c:v>(4) Piper et al.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SGg'!$AK$10:$AK$20</c:f>
              <c:numCache>
                <c:formatCode>0.0</c:formatCode>
                <c:ptCount val="11"/>
                <c:pt idx="0">
                  <c:v>311.29463350124234</c:v>
                </c:pt>
                <c:pt idx="1">
                  <c:v>327.30943967536041</c:v>
                </c:pt>
                <c:pt idx="2">
                  <c:v>342.86632024682882</c:v>
                </c:pt>
                <c:pt idx="3">
                  <c:v>357.96063370972036</c:v>
                </c:pt>
                <c:pt idx="4">
                  <c:v>372.58905927680041</c:v>
                </c:pt>
                <c:pt idx="5">
                  <c:v>386.74923274897213</c:v>
                </c:pt>
                <c:pt idx="6">
                  <c:v>400.43949919263986</c:v>
                </c:pt>
                <c:pt idx="7">
                  <c:v>413.65874106045362</c:v>
                </c:pt>
                <c:pt idx="8">
                  <c:v>426.40625633308895</c:v>
                </c:pt>
                <c:pt idx="9">
                  <c:v>438.68167060783128</c:v>
                </c:pt>
                <c:pt idx="10">
                  <c:v>450.48487271116892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'Ppc-Tpc Prop from SGg'!$AA$5:$AB$5</c:f>
              <c:strCache>
                <c:ptCount val="1"/>
                <c:pt idx="0">
                  <c:v>(5) Elsharkawy et al.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SGg'!$AL$10:$AL$20</c:f>
              <c:numCache>
                <c:formatCode>0.0</c:formatCode>
                <c:ptCount val="11"/>
                <c:pt idx="0">
                  <c:v>311.50599999999997</c:v>
                </c:pt>
                <c:pt idx="1">
                  <c:v>325.89676000000003</c:v>
                </c:pt>
                <c:pt idx="2">
                  <c:v>339.95263999999997</c:v>
                </c:pt>
                <c:pt idx="3">
                  <c:v>353.67363999999998</c:v>
                </c:pt>
                <c:pt idx="4">
                  <c:v>367.05975999999998</c:v>
                </c:pt>
                <c:pt idx="5">
                  <c:v>380.11099999999999</c:v>
                </c:pt>
                <c:pt idx="6">
                  <c:v>392.82736</c:v>
                </c:pt>
                <c:pt idx="7">
                  <c:v>405.20884000000001</c:v>
                </c:pt>
                <c:pt idx="8">
                  <c:v>417.25544000000002</c:v>
                </c:pt>
                <c:pt idx="9">
                  <c:v>428.96715999999998</c:v>
                </c:pt>
                <c:pt idx="10">
                  <c:v>440.34399999999999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'Ppc-Tpc Prop from SGg'!$AA$6:$AB$6</c:f>
              <c:strCache>
                <c:ptCount val="1"/>
                <c:pt idx="0">
                  <c:v>(6) Gua Ghalambor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Prop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Prop from SGg'!$AM$10:$AM$20</c:f>
              <c:numCache>
                <c:formatCode>0.0</c:formatCode>
                <c:ptCount val="11"/>
                <c:pt idx="0">
                  <c:v>324.16300000000001</c:v>
                </c:pt>
                <c:pt idx="1">
                  <c:v>339.53020000000004</c:v>
                </c:pt>
                <c:pt idx="2">
                  <c:v>354.8974</c:v>
                </c:pt>
                <c:pt idx="3">
                  <c:v>370.26460000000003</c:v>
                </c:pt>
                <c:pt idx="4">
                  <c:v>385.6318</c:v>
                </c:pt>
                <c:pt idx="5">
                  <c:v>400.99900000000002</c:v>
                </c:pt>
                <c:pt idx="6">
                  <c:v>416.36620000000005</c:v>
                </c:pt>
                <c:pt idx="7">
                  <c:v>431.73340000000002</c:v>
                </c:pt>
                <c:pt idx="8">
                  <c:v>447.10060000000004</c:v>
                </c:pt>
                <c:pt idx="9">
                  <c:v>462.46780000000001</c:v>
                </c:pt>
                <c:pt idx="10">
                  <c:v>477.83500000000004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56704"/>
        <c:axId val="1092056144"/>
      </c:scatterChart>
      <c:valAx>
        <c:axId val="1092055024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092055584"/>
        <c:crossesAt val="0"/>
        <c:crossBetween val="midCat"/>
      </c:valAx>
      <c:valAx>
        <c:axId val="1092055584"/>
        <c:scaling>
          <c:orientation val="minMax"/>
          <c:max val="500"/>
          <c:min val="30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092055024"/>
        <c:crossesAt val="0"/>
        <c:crossBetween val="midCat"/>
      </c:valAx>
      <c:valAx>
        <c:axId val="1092056144"/>
        <c:scaling>
          <c:orientation val="minMax"/>
          <c:max val="500"/>
          <c:min val="30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1092056704"/>
        <c:crosses val="max"/>
        <c:crossBetween val="midCat"/>
      </c:valAx>
      <c:valAx>
        <c:axId val="1092056704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109205614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egendEntry>
        <c:idx val="3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ayout>
        <c:manualLayout>
          <c:xMode val="edge"/>
          <c:yMode val="edge"/>
          <c:x val="0.77356212660565116"/>
          <c:y val="0.18841519119502326"/>
          <c:w val="0.20570207754470371"/>
          <c:h val="0.71412573773582166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9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Factor Z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9.1517436243308381E-2"/>
          <c:w val="0.84530568430719188"/>
          <c:h val="0.77500725602917153"/>
        </c:manualLayout>
      </c:layout>
      <c:scatterChart>
        <c:scatterStyle val="smoothMarker"/>
        <c:varyColors val="0"/>
        <c:ser>
          <c:idx val="2"/>
          <c:order val="1"/>
          <c:tx>
            <c:v>Axis2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</c:ser>
        <c:ser>
          <c:idx val="0"/>
          <c:order val="2"/>
          <c:tx>
            <c:v>Tpr: 1.39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1976'!$AN$10:$AN$29</c:f>
              <c:numCache>
                <c:formatCode>0.0000;0;0</c:formatCode>
                <c:ptCount val="20"/>
                <c:pt idx="0">
                  <c:v>0.97782999999999998</c:v>
                </c:pt>
                <c:pt idx="1">
                  <c:v>0.86763999999999997</c:v>
                </c:pt>
                <c:pt idx="2">
                  <c:v>0.77571000000000001</c:v>
                </c:pt>
                <c:pt idx="3">
                  <c:v>0.71840000000000004</c:v>
                </c:pt>
                <c:pt idx="4">
                  <c:v>0.70204999999999995</c:v>
                </c:pt>
                <c:pt idx="5">
                  <c:v>0.71591000000000005</c:v>
                </c:pt>
                <c:pt idx="6">
                  <c:v>0.74682999999999999</c:v>
                </c:pt>
                <c:pt idx="7">
                  <c:v>0.78676999999999997</c:v>
                </c:pt>
                <c:pt idx="8">
                  <c:v>0.83157000000000003</c:v>
                </c:pt>
                <c:pt idx="9">
                  <c:v>0.87907000000000002</c:v>
                </c:pt>
                <c:pt idx="10">
                  <c:v>0.92811999999999995</c:v>
                </c:pt>
                <c:pt idx="11">
                  <c:v>0.97804000000000002</c:v>
                </c:pt>
                <c:pt idx="12">
                  <c:v>1.0284500000000001</c:v>
                </c:pt>
                <c:pt idx="13">
                  <c:v>1.0791200000000001</c:v>
                </c:pt>
                <c:pt idx="14">
                  <c:v>1.1298999999999999</c:v>
                </c:pt>
                <c:pt idx="15">
                  <c:v>1.18069</c:v>
                </c:pt>
                <c:pt idx="16">
                  <c:v>1.23142</c:v>
                </c:pt>
                <c:pt idx="17">
                  <c:v>1.28207</c:v>
                </c:pt>
                <c:pt idx="18">
                  <c:v>1.3326</c:v>
                </c:pt>
                <c:pt idx="19">
                  <c:v>1.383</c:v>
                </c:pt>
              </c:numCache>
            </c:numRef>
          </c:yVal>
          <c:smooth val="1"/>
        </c:ser>
        <c:ser>
          <c:idx val="3"/>
          <c:order val="3"/>
          <c:tx>
            <c:v>Tpr: 1.47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1976'!$AS$10:$AS$29</c:f>
              <c:numCache>
                <c:formatCode>0.0000;0;0</c:formatCode>
                <c:ptCount val="20"/>
                <c:pt idx="0">
                  <c:v>0.98168</c:v>
                </c:pt>
                <c:pt idx="1">
                  <c:v>0.89270000000000005</c:v>
                </c:pt>
                <c:pt idx="2">
                  <c:v>0.82076000000000005</c:v>
                </c:pt>
                <c:pt idx="3">
                  <c:v>0.77459</c:v>
                </c:pt>
                <c:pt idx="4">
                  <c:v>0.75736999999999999</c:v>
                </c:pt>
                <c:pt idx="5">
                  <c:v>0.76400999999999997</c:v>
                </c:pt>
                <c:pt idx="6">
                  <c:v>0.78652999999999995</c:v>
                </c:pt>
                <c:pt idx="7">
                  <c:v>0.81869999999999998</c:v>
                </c:pt>
                <c:pt idx="8">
                  <c:v>0.85665000000000002</c:v>
                </c:pt>
                <c:pt idx="9">
                  <c:v>0.89810000000000001</c:v>
                </c:pt>
                <c:pt idx="10">
                  <c:v>0.94172999999999996</c:v>
                </c:pt>
                <c:pt idx="11">
                  <c:v>0.98670999999999998</c:v>
                </c:pt>
                <c:pt idx="12">
                  <c:v>1.0325599999999999</c:v>
                </c:pt>
                <c:pt idx="13">
                  <c:v>1.0789500000000001</c:v>
                </c:pt>
                <c:pt idx="14">
                  <c:v>1.12568</c:v>
                </c:pt>
                <c:pt idx="15">
                  <c:v>1.17259</c:v>
                </c:pt>
                <c:pt idx="16">
                  <c:v>1.2196100000000001</c:v>
                </c:pt>
                <c:pt idx="17">
                  <c:v>1.2666599999999999</c:v>
                </c:pt>
                <c:pt idx="18">
                  <c:v>1.31369</c:v>
                </c:pt>
                <c:pt idx="19">
                  <c:v>1.3606799999999999</c:v>
                </c:pt>
              </c:numCache>
            </c:numRef>
          </c:yVal>
          <c:smooth val="1"/>
        </c:ser>
        <c:ser>
          <c:idx val="4"/>
          <c:order val="4"/>
          <c:tx>
            <c:v>Tpr: 1.56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1976'!$AX$10:$AX$29</c:f>
              <c:numCache>
                <c:formatCode>0.0000;0;0</c:formatCode>
                <c:ptCount val="20"/>
                <c:pt idx="0">
                  <c:v>0.98479000000000005</c:v>
                </c:pt>
                <c:pt idx="1">
                  <c:v>0.91232999999999997</c:v>
                </c:pt>
                <c:pt idx="2">
                  <c:v>0.85523000000000005</c:v>
                </c:pt>
                <c:pt idx="3">
                  <c:v>0.81833999999999996</c:v>
                </c:pt>
                <c:pt idx="4">
                  <c:v>0.80305000000000004</c:v>
                </c:pt>
                <c:pt idx="5">
                  <c:v>0.80640999999999996</c:v>
                </c:pt>
                <c:pt idx="6">
                  <c:v>0.82347000000000004</c:v>
                </c:pt>
                <c:pt idx="7">
                  <c:v>0.84975000000000001</c:v>
                </c:pt>
                <c:pt idx="8">
                  <c:v>0.88205</c:v>
                </c:pt>
                <c:pt idx="9">
                  <c:v>0.91827000000000003</c:v>
                </c:pt>
                <c:pt idx="10">
                  <c:v>0.95706999999999998</c:v>
                </c:pt>
                <c:pt idx="11">
                  <c:v>0.99758999999999998</c:v>
                </c:pt>
                <c:pt idx="12">
                  <c:v>1.0392699999999999</c:v>
                </c:pt>
                <c:pt idx="13">
                  <c:v>1.0817300000000001</c:v>
                </c:pt>
                <c:pt idx="14">
                  <c:v>1.12473</c:v>
                </c:pt>
                <c:pt idx="15">
                  <c:v>1.1680900000000001</c:v>
                </c:pt>
                <c:pt idx="16">
                  <c:v>1.2116899999999999</c:v>
                </c:pt>
                <c:pt idx="17">
                  <c:v>1.25543</c:v>
                </c:pt>
                <c:pt idx="18">
                  <c:v>1.2992600000000001</c:v>
                </c:pt>
                <c:pt idx="19">
                  <c:v>1.3431200000000001</c:v>
                </c:pt>
              </c:numCache>
            </c:numRef>
          </c:yVal>
          <c:smooth val="1"/>
        </c:ser>
        <c:ser>
          <c:idx val="5"/>
          <c:order val="5"/>
          <c:tx>
            <c:v>Tpr: 1.64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1976'!$BC$10:$BC$29</c:f>
              <c:numCache>
                <c:formatCode>0.0000;0;0</c:formatCode>
                <c:ptCount val="20"/>
                <c:pt idx="0">
                  <c:v>0.98734</c:v>
                </c:pt>
                <c:pt idx="1">
                  <c:v>0.92798999999999998</c:v>
                </c:pt>
                <c:pt idx="2">
                  <c:v>0.88231000000000004</c:v>
                </c:pt>
                <c:pt idx="3">
                  <c:v>0.85297999999999996</c:v>
                </c:pt>
                <c:pt idx="4">
                  <c:v>0.84045000000000003</c:v>
                </c:pt>
                <c:pt idx="5">
                  <c:v>0.8427</c:v>
                </c:pt>
                <c:pt idx="6">
                  <c:v>0.85645000000000004</c:v>
                </c:pt>
                <c:pt idx="7">
                  <c:v>0.87853000000000003</c:v>
                </c:pt>
                <c:pt idx="8">
                  <c:v>0.90639999999999998</c:v>
                </c:pt>
                <c:pt idx="9">
                  <c:v>0.93828</c:v>
                </c:pt>
                <c:pt idx="10">
                  <c:v>0.97294000000000003</c:v>
                </c:pt>
                <c:pt idx="11">
                  <c:v>1.0095400000000001</c:v>
                </c:pt>
                <c:pt idx="12">
                  <c:v>1.0475000000000001</c:v>
                </c:pt>
                <c:pt idx="13">
                  <c:v>1.08643</c:v>
                </c:pt>
                <c:pt idx="14">
                  <c:v>1.12605</c:v>
                </c:pt>
                <c:pt idx="15">
                  <c:v>1.1661699999999999</c:v>
                </c:pt>
                <c:pt idx="16">
                  <c:v>1.20665</c:v>
                </c:pt>
                <c:pt idx="17">
                  <c:v>1.2473700000000001</c:v>
                </c:pt>
                <c:pt idx="18">
                  <c:v>1.28826</c:v>
                </c:pt>
                <c:pt idx="19">
                  <c:v>1.32927</c:v>
                </c:pt>
              </c:numCache>
            </c:numRef>
          </c:yVal>
          <c:smooth val="1"/>
        </c:ser>
        <c:ser>
          <c:idx val="6"/>
          <c:order val="6"/>
          <c:tx>
            <c:v>Tpr: 1.73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1976'!$BH$10:$BH$29</c:f>
              <c:numCache>
                <c:formatCode>0.0000;0;0</c:formatCode>
                <c:ptCount val="20"/>
                <c:pt idx="0">
                  <c:v>0.98945000000000005</c:v>
                </c:pt>
                <c:pt idx="1">
                  <c:v>0.94069000000000003</c:v>
                </c:pt>
                <c:pt idx="2">
                  <c:v>0.90400000000000003</c:v>
                </c:pt>
                <c:pt idx="3">
                  <c:v>0.88085000000000002</c:v>
                </c:pt>
                <c:pt idx="4">
                  <c:v>0.87114999999999998</c:v>
                </c:pt>
                <c:pt idx="5">
                  <c:v>0.87338000000000005</c:v>
                </c:pt>
                <c:pt idx="6">
                  <c:v>0.88522999999999996</c:v>
                </c:pt>
                <c:pt idx="7">
                  <c:v>0.90439000000000003</c:v>
                </c:pt>
                <c:pt idx="8">
                  <c:v>0.92891000000000001</c:v>
                </c:pt>
                <c:pt idx="9">
                  <c:v>0.95730000000000004</c:v>
                </c:pt>
                <c:pt idx="10">
                  <c:v>0.98850000000000005</c:v>
                </c:pt>
                <c:pt idx="11">
                  <c:v>1.02172</c:v>
                </c:pt>
                <c:pt idx="12">
                  <c:v>1.05643</c:v>
                </c:pt>
                <c:pt idx="13">
                  <c:v>1.09222</c:v>
                </c:pt>
                <c:pt idx="14">
                  <c:v>1.12883</c:v>
                </c:pt>
                <c:pt idx="15">
                  <c:v>1.1660299999999999</c:v>
                </c:pt>
                <c:pt idx="16">
                  <c:v>1.2036800000000001</c:v>
                </c:pt>
                <c:pt idx="17">
                  <c:v>1.2416700000000001</c:v>
                </c:pt>
                <c:pt idx="18">
                  <c:v>1.27989</c:v>
                </c:pt>
                <c:pt idx="19">
                  <c:v>1.3183</c:v>
                </c:pt>
              </c:numCache>
            </c:numRef>
          </c:yVal>
          <c:smooth val="1"/>
        </c:ser>
        <c:ser>
          <c:idx val="7"/>
          <c:order val="7"/>
          <c:tx>
            <c:v>Tpr: 1.81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1976'!$BM$10:$BM$29</c:f>
              <c:numCache>
                <c:formatCode>0.0000;0;0</c:formatCode>
                <c:ptCount val="20"/>
                <c:pt idx="0">
                  <c:v>0.99119999999999997</c:v>
                </c:pt>
                <c:pt idx="1">
                  <c:v>0.95109999999999995</c:v>
                </c:pt>
                <c:pt idx="2">
                  <c:v>0.92164999999999997</c:v>
                </c:pt>
                <c:pt idx="3">
                  <c:v>0.90356999999999998</c:v>
                </c:pt>
                <c:pt idx="4">
                  <c:v>0.89651000000000003</c:v>
                </c:pt>
                <c:pt idx="5">
                  <c:v>0.89924999999999999</c:v>
                </c:pt>
                <c:pt idx="6">
                  <c:v>0.91007000000000005</c:v>
                </c:pt>
                <c:pt idx="7">
                  <c:v>0.92723</c:v>
                </c:pt>
                <c:pt idx="8">
                  <c:v>0.94923000000000002</c:v>
                </c:pt>
                <c:pt idx="9">
                  <c:v>0.97485999999999995</c:v>
                </c:pt>
                <c:pt idx="10">
                  <c:v>1.0032000000000001</c:v>
                </c:pt>
                <c:pt idx="11">
                  <c:v>1.0335700000000001</c:v>
                </c:pt>
                <c:pt idx="12">
                  <c:v>1.0654699999999999</c:v>
                </c:pt>
                <c:pt idx="13">
                  <c:v>1.09853</c:v>
                </c:pt>
                <c:pt idx="14">
                  <c:v>1.13246</c:v>
                </c:pt>
                <c:pt idx="15">
                  <c:v>1.16706</c:v>
                </c:pt>
                <c:pt idx="16">
                  <c:v>1.20217</c:v>
                </c:pt>
                <c:pt idx="17">
                  <c:v>1.2376799999999999</c:v>
                </c:pt>
                <c:pt idx="18">
                  <c:v>1.27349</c:v>
                </c:pt>
                <c:pt idx="19">
                  <c:v>1.3095300000000001</c:v>
                </c:pt>
              </c:numCache>
            </c:numRef>
          </c:yVal>
          <c:smooth val="1"/>
        </c:ser>
        <c:ser>
          <c:idx val="8"/>
          <c:order val="8"/>
          <c:tx>
            <c:v>Tpr: 1.9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1976'!$BR$10:$BR$29</c:f>
              <c:numCache>
                <c:formatCode>0.0000;0;0</c:formatCode>
                <c:ptCount val="20"/>
                <c:pt idx="0">
                  <c:v>0.99267000000000005</c:v>
                </c:pt>
                <c:pt idx="1">
                  <c:v>0.95972999999999997</c:v>
                </c:pt>
                <c:pt idx="2">
                  <c:v>0.93618000000000001</c:v>
                </c:pt>
                <c:pt idx="3">
                  <c:v>0.92229000000000005</c:v>
                </c:pt>
                <c:pt idx="4">
                  <c:v>0.91759999999999997</c:v>
                </c:pt>
                <c:pt idx="5">
                  <c:v>0.92107000000000006</c:v>
                </c:pt>
                <c:pt idx="6">
                  <c:v>0.93137999999999999</c:v>
                </c:pt>
                <c:pt idx="7">
                  <c:v>0.94718999999999998</c:v>
                </c:pt>
                <c:pt idx="8">
                  <c:v>0.96731</c:v>
                </c:pt>
                <c:pt idx="9">
                  <c:v>0.99075999999999997</c:v>
                </c:pt>
                <c:pt idx="10">
                  <c:v>1.01677</c:v>
                </c:pt>
                <c:pt idx="11">
                  <c:v>1.0447500000000001</c:v>
                </c:pt>
                <c:pt idx="12">
                  <c:v>1.0742400000000001</c:v>
                </c:pt>
                <c:pt idx="13">
                  <c:v>1.1049100000000001</c:v>
                </c:pt>
                <c:pt idx="14">
                  <c:v>1.1364799999999999</c:v>
                </c:pt>
                <c:pt idx="15">
                  <c:v>1.1687700000000001</c:v>
                </c:pt>
                <c:pt idx="16">
                  <c:v>1.2016199999999999</c:v>
                </c:pt>
                <c:pt idx="17">
                  <c:v>1.23491</c:v>
                </c:pt>
                <c:pt idx="18">
                  <c:v>1.26854</c:v>
                </c:pt>
                <c:pt idx="19">
                  <c:v>1.30244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64544"/>
        <c:axId val="1092065104"/>
      </c:scatterChart>
      <c:scatterChart>
        <c:scatterStyle val="smoothMarker"/>
        <c:varyColors val="0"/>
        <c:ser>
          <c:idx val="1"/>
          <c:order val="0"/>
          <c:tx>
            <c:v>Axis1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66224"/>
        <c:axId val="1092065664"/>
      </c:scatterChart>
      <c:valAx>
        <c:axId val="1092064544"/>
        <c:scaling>
          <c:orientation val="minMax"/>
          <c:max val="15.141400000000001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Ppr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092065104"/>
        <c:crossesAt val="0"/>
        <c:crossBetween val="midCat"/>
      </c:valAx>
      <c:valAx>
        <c:axId val="1092065104"/>
        <c:scaling>
          <c:orientation val="minMax"/>
          <c:max val="1.383"/>
          <c:min val="0.70204999999999995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092064544"/>
        <c:crossesAt val="0"/>
        <c:crossBetween val="midCat"/>
      </c:valAx>
      <c:valAx>
        <c:axId val="1092065664"/>
        <c:scaling>
          <c:orientation val="minMax"/>
          <c:max val="1.383"/>
          <c:min val="0.70204999999999995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092066224"/>
        <c:crosses val="max"/>
        <c:crossBetween val="midCat"/>
      </c:valAx>
      <c:valAx>
        <c:axId val="1092066224"/>
        <c:scaling>
          <c:orientation val="minMax"/>
          <c:max val="15.141400000000001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09206566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Viscosity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91385972586768E-2"/>
          <c:y val="9.1517436243308381E-2"/>
          <c:w val="0.82189778361038213"/>
          <c:h val="0.77500725602917153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</c:ser>
        <c:ser>
          <c:idx val="0"/>
          <c:order val="2"/>
          <c:tx>
            <c:v>Tpr: 1.39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1976'!$AQ$10:$AQ$29</c:f>
              <c:numCache>
                <c:formatCode>0.0000;0;0</c:formatCode>
                <c:ptCount val="20"/>
                <c:pt idx="0">
                  <c:v>1.0573911632790811E-2</c:v>
                </c:pt>
                <c:pt idx="1">
                  <c:v>1.1664012397583474E-2</c:v>
                </c:pt>
                <c:pt idx="2">
                  <c:v>1.3577373145896984E-2</c:v>
                </c:pt>
                <c:pt idx="3">
                  <c:v>1.6431929818475577E-2</c:v>
                </c:pt>
                <c:pt idx="4">
                  <c:v>1.9968539861623717E-2</c:v>
                </c:pt>
                <c:pt idx="5">
                  <c:v>2.3719771525927386E-2</c:v>
                </c:pt>
                <c:pt idx="6">
                  <c:v>2.7408337177355448E-2</c:v>
                </c:pt>
                <c:pt idx="7">
                  <c:v>3.0941678571320928E-2</c:v>
                </c:pt>
                <c:pt idx="8">
                  <c:v>3.4304435387149675E-2</c:v>
                </c:pt>
                <c:pt idx="9">
                  <c:v>3.7505788300898298E-2</c:v>
                </c:pt>
                <c:pt idx="10">
                  <c:v>4.0559572936861264E-2</c:v>
                </c:pt>
                <c:pt idx="11">
                  <c:v>4.3481653733302532E-2</c:v>
                </c:pt>
                <c:pt idx="12">
                  <c:v>4.6284676576162601E-2</c:v>
                </c:pt>
                <c:pt idx="13">
                  <c:v>4.8979325296787758E-2</c:v>
                </c:pt>
                <c:pt idx="14">
                  <c:v>5.1575452890069887E-2</c:v>
                </c:pt>
                <c:pt idx="15">
                  <c:v>5.4081507170915026E-2</c:v>
                </c:pt>
                <c:pt idx="16">
                  <c:v>5.6505606540286059E-2</c:v>
                </c:pt>
                <c:pt idx="17">
                  <c:v>5.8852143159974203E-2</c:v>
                </c:pt>
                <c:pt idx="18">
                  <c:v>6.1128061495276519E-2</c:v>
                </c:pt>
                <c:pt idx="19">
                  <c:v>6.3337312118207409E-2</c:v>
                </c:pt>
              </c:numCache>
            </c:numRef>
          </c:yVal>
          <c:smooth val="1"/>
        </c:ser>
        <c:ser>
          <c:idx val="3"/>
          <c:order val="3"/>
          <c:tx>
            <c:v>Tpr: 1.47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1976'!$AV$10:$AV$29</c:f>
              <c:numCache>
                <c:formatCode>0.0000;0;0</c:formatCode>
                <c:ptCount val="20"/>
                <c:pt idx="0">
                  <c:v>1.1207411608551583E-2</c:v>
                </c:pt>
                <c:pt idx="1">
                  <c:v>1.2139907719795262E-2</c:v>
                </c:pt>
                <c:pt idx="2">
                  <c:v>1.3686399841574068E-2</c:v>
                </c:pt>
                <c:pt idx="3">
                  <c:v>1.5870710340132498E-2</c:v>
                </c:pt>
                <c:pt idx="4">
                  <c:v>1.8572408424756142E-2</c:v>
                </c:pt>
                <c:pt idx="5">
                  <c:v>2.1549386024676785E-2</c:v>
                </c:pt>
                <c:pt idx="6">
                  <c:v>2.4599930956196968E-2</c:v>
                </c:pt>
                <c:pt idx="7">
                  <c:v>2.7615081614691683E-2</c:v>
                </c:pt>
                <c:pt idx="8">
                  <c:v>3.0548578939204454E-2</c:v>
                </c:pt>
                <c:pt idx="9">
                  <c:v>3.3385438795322277E-2</c:v>
                </c:pt>
                <c:pt idx="10">
                  <c:v>3.6122950259071571E-2</c:v>
                </c:pt>
                <c:pt idx="11">
                  <c:v>3.8765633975627413E-2</c:v>
                </c:pt>
                <c:pt idx="12">
                  <c:v>4.1317768094453061E-2</c:v>
                </c:pt>
                <c:pt idx="13">
                  <c:v>4.3785753893955448E-2</c:v>
                </c:pt>
                <c:pt idx="14">
                  <c:v>4.6174680232167593E-2</c:v>
                </c:pt>
                <c:pt idx="15">
                  <c:v>4.8491013548216458E-2</c:v>
                </c:pt>
                <c:pt idx="16">
                  <c:v>5.0737791392259438E-2</c:v>
                </c:pt>
                <c:pt idx="17">
                  <c:v>5.2920422829579331E-2</c:v>
                </c:pt>
                <c:pt idx="18">
                  <c:v>5.5043338660060039E-2</c:v>
                </c:pt>
                <c:pt idx="19">
                  <c:v>5.7108904177773492E-2</c:v>
                </c:pt>
              </c:numCache>
            </c:numRef>
          </c:yVal>
          <c:smooth val="1"/>
        </c:ser>
        <c:ser>
          <c:idx val="4"/>
          <c:order val="4"/>
          <c:tx>
            <c:v>Tpr: 1.56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1976'!$BA$10:$BA$29</c:f>
              <c:numCache>
                <c:formatCode>0.0000;0;0</c:formatCode>
                <c:ptCount val="20"/>
                <c:pt idx="0">
                  <c:v>1.1835726954874164E-2</c:v>
                </c:pt>
                <c:pt idx="1">
                  <c:v>1.2647913515237311E-2</c:v>
                </c:pt>
                <c:pt idx="2">
                  <c:v>1.3946865260171599E-2</c:v>
                </c:pt>
                <c:pt idx="3">
                  <c:v>1.5713058430944369E-2</c:v>
                </c:pt>
                <c:pt idx="4">
                  <c:v>1.7872935000591231E-2</c:v>
                </c:pt>
                <c:pt idx="5">
                  <c:v>2.0289856530101957E-2</c:v>
                </c:pt>
                <c:pt idx="6">
                  <c:v>2.2830495961089048E-2</c:v>
                </c:pt>
                <c:pt idx="7">
                  <c:v>2.5403088268091897E-2</c:v>
                </c:pt>
                <c:pt idx="8">
                  <c:v>2.7955490383301747E-2</c:v>
                </c:pt>
                <c:pt idx="9">
                  <c:v>3.0461366071070129E-2</c:v>
                </c:pt>
                <c:pt idx="10">
                  <c:v>3.2908729903266425E-2</c:v>
                </c:pt>
                <c:pt idx="11">
                  <c:v>3.5292888393075809E-2</c:v>
                </c:pt>
                <c:pt idx="12">
                  <c:v>3.7613181353469881E-2</c:v>
                </c:pt>
                <c:pt idx="13">
                  <c:v>3.9871217333764621E-2</c:v>
                </c:pt>
                <c:pt idx="14">
                  <c:v>4.2068495749299682E-2</c:v>
                </c:pt>
                <c:pt idx="15">
                  <c:v>4.4207607764253441E-2</c:v>
                </c:pt>
                <c:pt idx="16">
                  <c:v>4.629107257894545E-2</c:v>
                </c:pt>
                <c:pt idx="17">
                  <c:v>4.8322319047627071E-2</c:v>
                </c:pt>
                <c:pt idx="18">
                  <c:v>5.0303086905126061E-2</c:v>
                </c:pt>
                <c:pt idx="19">
                  <c:v>5.2236562579897339E-2</c:v>
                </c:pt>
              </c:numCache>
            </c:numRef>
          </c:yVal>
          <c:smooth val="1"/>
        </c:ser>
        <c:ser>
          <c:idx val="5"/>
          <c:order val="5"/>
          <c:tx>
            <c:v>Tpr: 1.64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1976'!$BF$10:$BF$29</c:f>
              <c:numCache>
                <c:formatCode>0.0000;0;0</c:formatCode>
                <c:ptCount val="20"/>
                <c:pt idx="0">
                  <c:v>1.2457875804162947E-2</c:v>
                </c:pt>
                <c:pt idx="1">
                  <c:v>1.3175319810869736E-2</c:v>
                </c:pt>
                <c:pt idx="2">
                  <c:v>1.4295496763625305E-2</c:v>
                </c:pt>
                <c:pt idx="3">
                  <c:v>1.5778156126052184E-2</c:v>
                </c:pt>
                <c:pt idx="4">
                  <c:v>1.7569234792597435E-2</c:v>
                </c:pt>
                <c:pt idx="5">
                  <c:v>1.9582986286155069E-2</c:v>
                </c:pt>
                <c:pt idx="6">
                  <c:v>2.1730737683046161E-2</c:v>
                </c:pt>
                <c:pt idx="7">
                  <c:v>2.3942027189466909E-2</c:v>
                </c:pt>
                <c:pt idx="8">
                  <c:v>2.61705712977666E-2</c:v>
                </c:pt>
                <c:pt idx="9">
                  <c:v>2.838744134240322E-2</c:v>
                </c:pt>
                <c:pt idx="10">
                  <c:v>3.0576065628856897E-2</c:v>
                </c:pt>
                <c:pt idx="11">
                  <c:v>3.2727256863665649E-2</c:v>
                </c:pt>
                <c:pt idx="12">
                  <c:v>3.4836722767418934E-2</c:v>
                </c:pt>
                <c:pt idx="13">
                  <c:v>3.6902191899167984E-2</c:v>
                </c:pt>
                <c:pt idx="14">
                  <c:v>3.8923335302354901E-2</c:v>
                </c:pt>
                <c:pt idx="15">
                  <c:v>4.0899982731108384E-2</c:v>
                </c:pt>
                <c:pt idx="16">
                  <c:v>4.2832900461023359E-2</c:v>
                </c:pt>
                <c:pt idx="17">
                  <c:v>4.4724127801787826E-2</c:v>
                </c:pt>
                <c:pt idx="18">
                  <c:v>4.6574693336394066E-2</c:v>
                </c:pt>
                <c:pt idx="19">
                  <c:v>4.8385339398645068E-2</c:v>
                </c:pt>
              </c:numCache>
            </c:numRef>
          </c:yVal>
          <c:smooth val="1"/>
        </c:ser>
        <c:ser>
          <c:idx val="6"/>
          <c:order val="6"/>
          <c:tx>
            <c:v>Tpr: 1.73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1976'!$BK$10:$BK$29</c:f>
              <c:numCache>
                <c:formatCode>0.0000;0;0</c:formatCode>
                <c:ptCount val="20"/>
                <c:pt idx="0">
                  <c:v>1.3073237477473265E-2</c:v>
                </c:pt>
                <c:pt idx="1">
                  <c:v>1.3714223671305257E-2</c:v>
                </c:pt>
                <c:pt idx="2">
                  <c:v>1.4699019541572296E-2</c:v>
                </c:pt>
                <c:pt idx="3">
                  <c:v>1.597727767262247E-2</c:v>
                </c:pt>
                <c:pt idx="4">
                  <c:v>1.7504956298347089E-2</c:v>
                </c:pt>
                <c:pt idx="5">
                  <c:v>1.922282773063843E-2</c:v>
                </c:pt>
                <c:pt idx="6">
                  <c:v>2.1069234358668518E-2</c:v>
                </c:pt>
                <c:pt idx="7">
                  <c:v>2.2991525022993137E-2</c:v>
                </c:pt>
                <c:pt idx="8">
                  <c:v>2.4950921465238501E-2</c:v>
                </c:pt>
                <c:pt idx="9">
                  <c:v>2.692106069224192E-2</c:v>
                </c:pt>
                <c:pt idx="10">
                  <c:v>2.8884188335931975E-2</c:v>
                </c:pt>
                <c:pt idx="11">
                  <c:v>3.0829741909805371E-2</c:v>
                </c:pt>
                <c:pt idx="12">
                  <c:v>3.275035713371767E-2</c:v>
                </c:pt>
                <c:pt idx="13">
                  <c:v>3.4642532001984298E-2</c:v>
                </c:pt>
                <c:pt idx="14">
                  <c:v>3.6503028816549023E-2</c:v>
                </c:pt>
                <c:pt idx="15">
                  <c:v>3.8331421437079509E-2</c:v>
                </c:pt>
                <c:pt idx="16">
                  <c:v>4.0126729050036537E-2</c:v>
                </c:pt>
                <c:pt idx="17">
                  <c:v>4.1888702227969372E-2</c:v>
                </c:pt>
                <c:pt idx="18">
                  <c:v>4.3618945443065341E-2</c:v>
                </c:pt>
                <c:pt idx="19">
                  <c:v>4.5316512704691343E-2</c:v>
                </c:pt>
              </c:numCache>
            </c:numRef>
          </c:yVal>
          <c:smooth val="1"/>
        </c:ser>
        <c:ser>
          <c:idx val="7"/>
          <c:order val="7"/>
          <c:tx>
            <c:v>Tpr: 1.81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1976'!$BP$10:$BP$29</c:f>
              <c:numCache>
                <c:formatCode>0.0000;0;0</c:formatCode>
                <c:ptCount val="20"/>
                <c:pt idx="0">
                  <c:v>1.3681430284379924E-2</c:v>
                </c:pt>
                <c:pt idx="1">
                  <c:v>1.4259522531961956E-2</c:v>
                </c:pt>
                <c:pt idx="2">
                  <c:v>1.513807029354239E-2</c:v>
                </c:pt>
                <c:pt idx="3">
                  <c:v>1.6262178159177128E-2</c:v>
                </c:pt>
                <c:pt idx="4">
                  <c:v>1.75937007565517E-2</c:v>
                </c:pt>
                <c:pt idx="5">
                  <c:v>1.9088436358007912E-2</c:v>
                </c:pt>
                <c:pt idx="6">
                  <c:v>2.070137284544404E-2</c:v>
                </c:pt>
                <c:pt idx="7">
                  <c:v>2.2392772238269121E-2</c:v>
                </c:pt>
                <c:pt idx="8">
                  <c:v>2.4131098514450691E-2</c:v>
                </c:pt>
                <c:pt idx="9">
                  <c:v>2.5893235615722997E-2</c:v>
                </c:pt>
                <c:pt idx="10">
                  <c:v>2.7662888329894126E-2</c:v>
                </c:pt>
                <c:pt idx="11">
                  <c:v>2.9428553544960351E-2</c:v>
                </c:pt>
                <c:pt idx="12">
                  <c:v>3.1182396568103066E-2</c:v>
                </c:pt>
                <c:pt idx="13">
                  <c:v>3.2919067399056125E-2</c:v>
                </c:pt>
                <c:pt idx="14">
                  <c:v>3.4635590544008943E-2</c:v>
                </c:pt>
                <c:pt idx="15">
                  <c:v>3.6329359174781133E-2</c:v>
                </c:pt>
                <c:pt idx="16">
                  <c:v>3.7999159957516022E-2</c:v>
                </c:pt>
                <c:pt idx="17">
                  <c:v>3.9643775530938362E-2</c:v>
                </c:pt>
                <c:pt idx="18">
                  <c:v>4.1263211926104167E-2</c:v>
                </c:pt>
                <c:pt idx="19">
                  <c:v>4.2857191559898651E-2</c:v>
                </c:pt>
              </c:numCache>
            </c:numRef>
          </c:yVal>
          <c:smooth val="1"/>
        </c:ser>
        <c:ser>
          <c:idx val="8"/>
          <c:order val="8"/>
          <c:tx>
            <c:v>Tpr: 1.9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1976'!$BU$10:$BU$29</c:f>
              <c:numCache>
                <c:formatCode>0.0000;0;0</c:formatCode>
                <c:ptCount val="20"/>
                <c:pt idx="0">
                  <c:v>1.4282233094886607E-2</c:v>
                </c:pt>
                <c:pt idx="1">
                  <c:v>1.4807746894717094E-2</c:v>
                </c:pt>
                <c:pt idx="2">
                  <c:v>1.5600642568979646E-2</c:v>
                </c:pt>
                <c:pt idx="3">
                  <c:v>1.6604384025908862E-2</c:v>
                </c:pt>
                <c:pt idx="4">
                  <c:v>1.7784722640256358E-2</c:v>
                </c:pt>
                <c:pt idx="5">
                  <c:v>1.9106765130151568E-2</c:v>
                </c:pt>
                <c:pt idx="6">
                  <c:v>2.0536003545992016E-2</c:v>
                </c:pt>
                <c:pt idx="7">
                  <c:v>2.2041524096368753E-2</c:v>
                </c:pt>
                <c:pt idx="8">
                  <c:v>2.3597982646668979E-2</c:v>
                </c:pt>
                <c:pt idx="9">
                  <c:v>2.5185691287791828E-2</c:v>
                </c:pt>
                <c:pt idx="10">
                  <c:v>2.6789909524825531E-2</c:v>
                </c:pt>
                <c:pt idx="11">
                  <c:v>2.8399636059315621E-2</c:v>
                </c:pt>
                <c:pt idx="12">
                  <c:v>3.0007254727483619E-2</c:v>
                </c:pt>
                <c:pt idx="13">
                  <c:v>3.160675201838084E-2</c:v>
                </c:pt>
                <c:pt idx="14">
                  <c:v>3.3194684972690194E-2</c:v>
                </c:pt>
                <c:pt idx="15">
                  <c:v>3.4767455936205047E-2</c:v>
                </c:pt>
                <c:pt idx="16">
                  <c:v>3.6323253080798951E-2</c:v>
                </c:pt>
                <c:pt idx="17">
                  <c:v>3.7860682712324518E-2</c:v>
                </c:pt>
                <c:pt idx="18">
                  <c:v>3.9379130065137553E-2</c:v>
                </c:pt>
                <c:pt idx="19">
                  <c:v>4.0877763081890707E-2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73504"/>
        <c:axId val="1092074064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75184"/>
        <c:axId val="1092074624"/>
      </c:scatterChart>
      <c:valAx>
        <c:axId val="1092073504"/>
        <c:scaling>
          <c:orientation val="minMax"/>
          <c:max val="15.141400000000001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Ppr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092074064"/>
        <c:crossesAt val="0"/>
        <c:crossBetween val="midCat"/>
      </c:valAx>
      <c:valAx>
        <c:axId val="1092074064"/>
        <c:scaling>
          <c:orientation val="minMax"/>
          <c:max val="6.3337312118207409E-2"/>
          <c:min val="1.0573911632790811E-2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092073504"/>
        <c:crossesAt val="0"/>
        <c:crossBetween val="midCat"/>
      </c:valAx>
      <c:valAx>
        <c:axId val="1092074624"/>
        <c:scaling>
          <c:orientation val="minMax"/>
          <c:max val="6.3337312118207409E-2"/>
          <c:min val="1.0573911632790811E-2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092075184"/>
        <c:crosses val="max"/>
        <c:crossBetween val="midCat"/>
      </c:valAx>
      <c:valAx>
        <c:axId val="1092075184"/>
        <c:scaling>
          <c:orientation val="minMax"/>
          <c:max val="15.141400000000001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09207462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FVF (B</a:t>
            </a:r>
            <a:r>
              <a:rPr lang="es-BO" sz="1200" baseline="-25000">
                <a:solidFill>
                  <a:srgbClr val="0000FF"/>
                </a:solidFill>
              </a:rPr>
              <a:t>g</a:t>
            </a:r>
            <a:r>
              <a:rPr lang="es-BO" sz="1200">
                <a:solidFill>
                  <a:srgbClr val="0000FF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710830417031188E-2"/>
          <c:y val="9.069860858738811E-2"/>
          <c:w val="0.82479130212890051"/>
          <c:h val="0.78562992125984243"/>
        </c:manualLayout>
      </c:layout>
      <c:scatterChart>
        <c:scatterStyle val="smoothMarker"/>
        <c:varyColors val="0"/>
        <c:ser>
          <c:idx val="2"/>
          <c:order val="1"/>
          <c:tx>
            <c:v>Axis_2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1"/>
        </c:ser>
        <c:ser>
          <c:idx val="0"/>
          <c:order val="2"/>
          <c:tx>
            <c:v>Tpr: 1.39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1976'!$AO$10:$AO$29</c:f>
              <c:numCache>
                <c:formatCode>0.0000;0;0</c:formatCode>
                <c:ptCount val="20"/>
                <c:pt idx="0">
                  <c:v>0.14389746279999999</c:v>
                </c:pt>
                <c:pt idx="1">
                  <c:v>2.055903750100636E-2</c:v>
                </c:pt>
                <c:pt idx="2">
                  <c:v>9.9949640227298599E-3</c:v>
                </c:pt>
                <c:pt idx="3">
                  <c:v>6.356558839798937E-3</c:v>
                </c:pt>
                <c:pt idx="4">
                  <c:v>4.7300249518132404E-3</c:v>
                </c:pt>
                <c:pt idx="5">
                  <c:v>3.8943878074565843E-3</c:v>
                </c:pt>
                <c:pt idx="6">
                  <c:v>3.4064662773686427E-3</c:v>
                </c:pt>
                <c:pt idx="7">
                  <c:v>3.0896621684007716E-3</c:v>
                </c:pt>
                <c:pt idx="8">
                  <c:v>2.8669587622586344E-3</c:v>
                </c:pt>
                <c:pt idx="9">
                  <c:v>2.7010074434123186E-3</c:v>
                </c:pt>
                <c:pt idx="10">
                  <c:v>2.5719116397045112E-3</c:v>
                </c:pt>
                <c:pt idx="11">
                  <c:v>2.4680852599124076E-3</c:v>
                </c:pt>
                <c:pt idx="12">
                  <c:v>2.382425892897902E-3</c:v>
                </c:pt>
                <c:pt idx="13">
                  <c:v>2.3103097496537518E-3</c:v>
                </c:pt>
                <c:pt idx="14">
                  <c:v>2.2485724176914941E-3</c:v>
                </c:pt>
                <c:pt idx="15">
                  <c:v>2.1949842075143478E-3</c:v>
                </c:pt>
                <c:pt idx="16">
                  <c:v>2.1479104404018567E-3</c:v>
                </c:pt>
                <c:pt idx="17">
                  <c:v>2.1061814914003188E-3</c:v>
                </c:pt>
                <c:pt idx="18">
                  <c:v>2.0688516766097509E-3</c:v>
                </c:pt>
                <c:pt idx="19">
                  <c:v>2.0352228E-3</c:v>
                </c:pt>
              </c:numCache>
            </c:numRef>
          </c:yVal>
          <c:smooth val="1"/>
        </c:ser>
        <c:ser>
          <c:idx val="3"/>
          <c:order val="3"/>
          <c:tx>
            <c:v>Tpr: 1.47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1976'!$AT$10:$AT$29</c:f>
              <c:numCache>
                <c:formatCode>0.0000;0;0</c:formatCode>
                <c:ptCount val="20"/>
                <c:pt idx="0">
                  <c:v>0.1532615177333333</c:v>
                </c:pt>
                <c:pt idx="1">
                  <c:v>2.2440996994337548E-2</c:v>
                </c:pt>
                <c:pt idx="2">
                  <c:v>1.1219446387242326E-2</c:v>
                </c:pt>
                <c:pt idx="3">
                  <c:v>7.2711153336620232E-3</c:v>
                </c:pt>
                <c:pt idx="4">
                  <c:v>5.4134843574259487E-3</c:v>
                </c:pt>
                <c:pt idx="5">
                  <c:v>4.4091331165950765E-3</c:v>
                </c:pt>
                <c:pt idx="6">
                  <c:v>3.8060196906485816E-3</c:v>
                </c:pt>
                <c:pt idx="7">
                  <c:v>3.410840362707712E-3</c:v>
                </c:pt>
                <c:pt idx="8">
                  <c:v>3.1332817705380439E-3</c:v>
                </c:pt>
                <c:pt idx="9">
                  <c:v>2.9275236891207861E-3</c:v>
                </c:pt>
                <c:pt idx="10">
                  <c:v>2.7685458353497671E-3</c:v>
                </c:pt>
                <c:pt idx="11">
                  <c:v>2.6415964407016049E-3</c:v>
                </c:pt>
                <c:pt idx="12">
                  <c:v>2.5376102202289965E-3</c:v>
                </c:pt>
                <c:pt idx="13">
                  <c:v>2.4506155690983576E-3</c:v>
                </c:pt>
                <c:pt idx="14">
                  <c:v>2.3765952248940912E-3</c:v>
                </c:pt>
                <c:pt idx="15">
                  <c:v>2.3126776369341109E-3</c:v>
                </c:pt>
                <c:pt idx="16">
                  <c:v>2.2568585617758936E-3</c:v>
                </c:pt>
                <c:pt idx="17">
                  <c:v>2.2075853833882753E-3</c:v>
                </c:pt>
                <c:pt idx="18">
                  <c:v>2.1636939986320563E-3</c:v>
                </c:pt>
                <c:pt idx="19">
                  <c:v>2.1243162939999999E-3</c:v>
                </c:pt>
              </c:numCache>
            </c:numRef>
          </c:yVal>
          <c:smooth val="1"/>
        </c:ser>
        <c:ser>
          <c:idx val="4"/>
          <c:order val="4"/>
          <c:tx>
            <c:v>Tpr: 1.56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1976'!$AY$10:$AY$29</c:f>
              <c:numCache>
                <c:formatCode>0.0000;0;0</c:formatCode>
                <c:ptCount val="20"/>
                <c:pt idx="0">
                  <c:v>0.16257241583333337</c:v>
                </c:pt>
                <c:pt idx="1">
                  <c:v>2.4250942355687949E-2</c:v>
                </c:pt>
                <c:pt idx="2">
                  <c:v>1.2361700638876E-2</c:v>
                </c:pt>
                <c:pt idx="3">
                  <c:v>8.122747961711441E-3</c:v>
                </c:pt>
                <c:pt idx="4">
                  <c:v>6.0694791633283127E-3</c:v>
                </c:pt>
                <c:pt idx="5">
                  <c:v>4.9209632653916188E-3</c:v>
                </c:pt>
                <c:pt idx="6">
                  <c:v>4.21350555741526E-3</c:v>
                </c:pt>
                <c:pt idx="7">
                  <c:v>3.7434137141515249E-3</c:v>
                </c:pt>
                <c:pt idx="8">
                  <c:v>3.4113736269314331E-3</c:v>
                </c:pt>
                <c:pt idx="9">
                  <c:v>3.1650907616082779E-3</c:v>
                </c:pt>
                <c:pt idx="10">
                  <c:v>2.9751513659339716E-3</c:v>
                </c:pt>
                <c:pt idx="11">
                  <c:v>2.8240285222872704E-3</c:v>
                </c:pt>
                <c:pt idx="12">
                  <c:v>2.7007106636673839E-3</c:v>
                </c:pt>
                <c:pt idx="13">
                  <c:v>2.5979619965821317E-3</c:v>
                </c:pt>
                <c:pt idx="14">
                  <c:v>2.5108952782653617E-3</c:v>
                </c:pt>
                <c:pt idx="15">
                  <c:v>2.4360448020138655E-3</c:v>
                </c:pt>
                <c:pt idx="16">
                  <c:v>2.3709092997694237E-3</c:v>
                </c:pt>
                <c:pt idx="17">
                  <c:v>2.3136092223354681E-3</c:v>
                </c:pt>
                <c:pt idx="18">
                  <c:v>2.2627629818351893E-3</c:v>
                </c:pt>
                <c:pt idx="19">
                  <c:v>2.2172672666666668E-3</c:v>
                </c:pt>
              </c:numCache>
            </c:numRef>
          </c:yVal>
          <c:smooth val="1"/>
        </c:ser>
        <c:ser>
          <c:idx val="5"/>
          <c:order val="5"/>
          <c:tx>
            <c:v>Tpr: 1.64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1976'!$BD$10:$BD$29</c:f>
              <c:numCache>
                <c:formatCode>0.0000;0;0</c:formatCode>
                <c:ptCount val="20"/>
                <c:pt idx="0">
                  <c:v>0.17184159030000001</c:v>
                </c:pt>
                <c:pt idx="1">
                  <c:v>2.6006282835520488E-2</c:v>
                </c:pt>
                <c:pt idx="2">
                  <c:v>1.3445433797970426E-2</c:v>
                </c:pt>
                <c:pt idx="3">
                  <c:v>8.9261949601962525E-3</c:v>
                </c:pt>
                <c:pt idx="4">
                  <c:v>6.6969806131278592E-3</c:v>
                </c:pt>
                <c:pt idx="5">
                  <c:v>5.4215758004775875E-3</c:v>
                </c:pt>
                <c:pt idx="6">
                  <c:v>4.6201505197872497E-3</c:v>
                </c:pt>
                <c:pt idx="7">
                  <c:v>4.0802950829515105E-3</c:v>
                </c:pt>
                <c:pt idx="8">
                  <c:v>3.695849705511641E-3</c:v>
                </c:pt>
                <c:pt idx="9">
                  <c:v>3.409624501249616E-3</c:v>
                </c:pt>
                <c:pt idx="10">
                  <c:v>3.1886712305551424E-3</c:v>
                </c:pt>
                <c:pt idx="11">
                  <c:v>3.0129980091158832E-3</c:v>
                </c:pt>
                <c:pt idx="12">
                  <c:v>2.8698686606964362E-3</c:v>
                </c:pt>
                <c:pt idx="13">
                  <c:v>2.7508948532663723E-3</c:v>
                </c:pt>
                <c:pt idx="14">
                  <c:v>2.6503078167724623E-3</c:v>
                </c:pt>
                <c:pt idx="15">
                  <c:v>2.5640657173825981E-3</c:v>
                </c:pt>
                <c:pt idx="16">
                  <c:v>2.4892187033296828E-3</c:v>
                </c:pt>
                <c:pt idx="17">
                  <c:v>2.4235451836314139E-3</c:v>
                </c:pt>
                <c:pt idx="18">
                  <c:v>2.365401354580412E-3</c:v>
                </c:pt>
                <c:pt idx="19">
                  <c:v>2.3135279714999999E-3</c:v>
                </c:pt>
              </c:numCache>
            </c:numRef>
          </c:yVal>
          <c:smooth val="1"/>
        </c:ser>
        <c:ser>
          <c:idx val="6"/>
          <c:order val="6"/>
          <c:tx>
            <c:v>Tpr: 1.73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1976'!$BI$10:$BI$29</c:f>
              <c:numCache>
                <c:formatCode>0.0000;0;0</c:formatCode>
                <c:ptCount val="20"/>
                <c:pt idx="0">
                  <c:v>0.18107594633333335</c:v>
                </c:pt>
                <c:pt idx="1">
                  <c:v>2.7719594439524459E-2</c:v>
                </c:pt>
                <c:pt idx="2">
                  <c:v>1.4485297096310046E-2</c:v>
                </c:pt>
                <c:pt idx="3">
                  <c:v>9.6924783143734414E-3</c:v>
                </c:pt>
                <c:pt idx="4">
                  <c:v>7.2990352423378093E-3</c:v>
                </c:pt>
                <c:pt idx="5">
                  <c:v>5.9082809982527853E-3</c:v>
                </c:pt>
                <c:pt idx="6">
                  <c:v>5.0212933476323886E-3</c:v>
                </c:pt>
                <c:pt idx="7">
                  <c:v>4.4166815464356775E-3</c:v>
                </c:pt>
                <c:pt idx="8">
                  <c:v>3.9826615640760118E-3</c:v>
                </c:pt>
                <c:pt idx="9">
                  <c:v>3.6578636467082988E-3</c:v>
                </c:pt>
                <c:pt idx="10">
                  <c:v>3.4064790143356685E-3</c:v>
                </c:pt>
                <c:pt idx="11">
                  <c:v>3.2063621088395705E-3</c:v>
                </c:pt>
                <c:pt idx="12">
                  <c:v>3.0433652340316787E-3</c:v>
                </c:pt>
                <c:pt idx="13">
                  <c:v>2.9079552942043656E-3</c:v>
                </c:pt>
                <c:pt idx="14">
                  <c:v>2.7936535366129612E-3</c:v>
                </c:pt>
                <c:pt idx="15">
                  <c:v>2.6957671127371156E-3</c:v>
                </c:pt>
                <c:pt idx="16">
                  <c:v>2.6109475174749468E-3</c:v>
                </c:pt>
                <c:pt idx="17">
                  <c:v>2.5366898655821849E-3</c:v>
                </c:pt>
                <c:pt idx="18">
                  <c:v>2.4710374313610681E-3</c:v>
                </c:pt>
                <c:pt idx="19">
                  <c:v>2.4125768866666663E-3</c:v>
                </c:pt>
              </c:numCache>
            </c:numRef>
          </c:yVal>
          <c:smooth val="1"/>
        </c:ser>
        <c:ser>
          <c:idx val="7"/>
          <c:order val="7"/>
          <c:tx>
            <c:v>Tpr: 1.81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1976'!$BN$10:$BN$29</c:f>
              <c:numCache>
                <c:formatCode>0.0000;0;0</c:formatCode>
                <c:ptCount val="20"/>
                <c:pt idx="0">
                  <c:v>0.19027901199999994</c:v>
                </c:pt>
                <c:pt idx="1">
                  <c:v>2.9398773340847482E-2</c:v>
                </c:pt>
                <c:pt idx="2">
                  <c:v>1.549129369471125E-2</c:v>
                </c:pt>
                <c:pt idx="3">
                  <c:v>1.0429352975660788E-2</c:v>
                </c:pt>
                <c:pt idx="4">
                  <c:v>7.8793490789194568E-3</c:v>
                </c:pt>
                <c:pt idx="5">
                  <c:v>6.3811805057554533E-3</c:v>
                </c:pt>
                <c:pt idx="6">
                  <c:v>5.4149811896112791E-3</c:v>
                </c:pt>
                <c:pt idx="7">
                  <c:v>4.7499659152063084E-3</c:v>
                </c:pt>
                <c:pt idx="8">
                  <c:v>4.2690761698708181E-3</c:v>
                </c:pt>
                <c:pt idx="9">
                  <c:v>3.9073686531773512E-3</c:v>
                </c:pt>
                <c:pt idx="10">
                  <c:v>3.626429603071633E-3</c:v>
                </c:pt>
                <c:pt idx="11">
                  <c:v>3.4023834069554625E-3</c:v>
                </c:pt>
                <c:pt idx="12">
                  <c:v>3.2197137267032175E-3</c:v>
                </c:pt>
                <c:pt idx="13">
                  <c:v>3.0679777530619205E-3</c:v>
                </c:pt>
                <c:pt idx="14">
                  <c:v>2.9398796815934929E-3</c:v>
                </c:pt>
                <c:pt idx="15">
                  <c:v>2.8302742126812353E-3</c:v>
                </c:pt>
                <c:pt idx="16">
                  <c:v>2.735367403949029E-3</c:v>
                </c:pt>
                <c:pt idx="17">
                  <c:v>2.6523586112354577E-3</c:v>
                </c:pt>
                <c:pt idx="18">
                  <c:v>2.5790805185876772E-3</c:v>
                </c:pt>
                <c:pt idx="19">
                  <c:v>2.5138829154999999E-3</c:v>
                </c:pt>
              </c:numCache>
            </c:numRef>
          </c:yVal>
          <c:smooth val="1"/>
        </c:ser>
        <c:ser>
          <c:idx val="8"/>
          <c:order val="8"/>
          <c:tx>
            <c:v>Tpr: 1.9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1976'!$BS$10:$BS$29</c:f>
              <c:numCache>
                <c:formatCode>0.0000;0;0</c:formatCode>
                <c:ptCount val="20"/>
                <c:pt idx="0">
                  <c:v>0.19945718309999999</c:v>
                </c:pt>
                <c:pt idx="1">
                  <c:v>3.1050406392399973E-2</c:v>
                </c:pt>
                <c:pt idx="2">
                  <c:v>1.6470098974704715E-2</c:v>
                </c:pt>
                <c:pt idx="3">
                  <c:v>1.1142387365015993E-2</c:v>
                </c:pt>
                <c:pt idx="4">
                  <c:v>8.4411923761909327E-3</c:v>
                </c:pt>
                <c:pt idx="5">
                  <c:v>6.8411389330415564E-3</c:v>
                </c:pt>
                <c:pt idx="6">
                  <c:v>5.8004842483076685E-3</c:v>
                </c:pt>
                <c:pt idx="7">
                  <c:v>5.0787321961802542E-3</c:v>
                </c:pt>
                <c:pt idx="8">
                  <c:v>4.5534787649762669E-3</c:v>
                </c:pt>
                <c:pt idx="9">
                  <c:v>4.1564809216886201E-3</c:v>
                </c:pt>
                <c:pt idx="10">
                  <c:v>3.8470660386063157E-3</c:v>
                </c:pt>
                <c:pt idx="11">
                  <c:v>3.5997382784768452E-3</c:v>
                </c:pt>
                <c:pt idx="12">
                  <c:v>3.39775877392513E-3</c:v>
                </c:pt>
                <c:pt idx="13">
                  <c:v>3.2298501865085367E-3</c:v>
                </c:pt>
                <c:pt idx="14">
                  <c:v>3.088045372792011E-3</c:v>
                </c:pt>
                <c:pt idx="15">
                  <c:v>2.9667406045385232E-3</c:v>
                </c:pt>
                <c:pt idx="16">
                  <c:v>2.861752819776125E-3</c:v>
                </c:pt>
                <c:pt idx="17">
                  <c:v>2.7699655421086888E-3</c:v>
                </c:pt>
                <c:pt idx="18">
                  <c:v>2.6889870945621609E-3</c:v>
                </c:pt>
                <c:pt idx="19">
                  <c:v>2.6169926919999997E-3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78544"/>
        <c:axId val="1092079104"/>
      </c:scatterChart>
      <c:scatterChart>
        <c:scatterStyle val="smoothMarker"/>
        <c:varyColors val="0"/>
        <c:ser>
          <c:idx val="1"/>
          <c:order val="0"/>
          <c:tx>
            <c:v>Axis_1</c:v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80224"/>
        <c:axId val="1092079664"/>
      </c:scatterChart>
      <c:valAx>
        <c:axId val="1092078544"/>
        <c:scaling>
          <c:orientation val="minMax"/>
          <c:max val="15.141400000000001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Ppr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092079104"/>
        <c:crossesAt val="0"/>
        <c:crossBetween val="midCat"/>
      </c:valAx>
      <c:valAx>
        <c:axId val="1092079104"/>
        <c:scaling>
          <c:logBase val="10"/>
          <c:orientation val="minMax"/>
          <c:max val="1"/>
          <c:min val="1E-3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092078544"/>
        <c:crossesAt val="0"/>
        <c:crossBetween val="midCat"/>
      </c:valAx>
      <c:valAx>
        <c:axId val="1092079664"/>
        <c:scaling>
          <c:logBase val="10"/>
          <c:orientation val="minMax"/>
          <c:max val="1"/>
          <c:min val="1E-3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092080224"/>
        <c:crosses val="max"/>
        <c:crossBetween val="midCat"/>
      </c:valAx>
      <c:valAx>
        <c:axId val="1092080224"/>
        <c:scaling>
          <c:orientation val="minMax"/>
          <c:max val="15.141400000000001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09207966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Density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9.069860858738811E-2"/>
          <c:w val="0.84530568430719188"/>
          <c:h val="0.78562992125984243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</c:ser>
        <c:ser>
          <c:idx val="0"/>
          <c:order val="2"/>
          <c:tx>
            <c:v>Tpr: 1.39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1976'!$AP$10:$AP$29</c:f>
              <c:numCache>
                <c:formatCode>0.0000;0;0</c:formatCode>
                <c:ptCount val="20"/>
                <c:pt idx="0">
                  <c:v>0.35028569792929765</c:v>
                </c:pt>
                <c:pt idx="1">
                  <c:v>2.4517306894686008</c:v>
                </c:pt>
                <c:pt idx="2">
                  <c:v>5.0430619932723166</c:v>
                </c:pt>
                <c:pt idx="3">
                  <c:v>7.929639991934299</c:v>
                </c:pt>
                <c:pt idx="4">
                  <c:v>10.656439173292405</c:v>
                </c:pt>
                <c:pt idx="5">
                  <c:v>12.943041545744945</c:v>
                </c:pt>
                <c:pt idx="6">
                  <c:v>14.796924168023509</c:v>
                </c:pt>
                <c:pt idx="7">
                  <c:v>16.314153599920342</c:v>
                </c:pt>
                <c:pt idx="8">
                  <c:v>17.581425952371607</c:v>
                </c:pt>
                <c:pt idx="9">
                  <c:v>18.661638015878136</c:v>
                </c:pt>
                <c:pt idx="10">
                  <c:v>19.598349495764261</c:v>
                </c:pt>
                <c:pt idx="11">
                  <c:v>20.422804676100217</c:v>
                </c:pt>
                <c:pt idx="12">
                  <c:v>21.157100137894293</c:v>
                </c:pt>
                <c:pt idx="13">
                  <c:v>21.817517410688076</c:v>
                </c:pt>
                <c:pt idx="14">
                  <c:v>22.416544288532126</c:v>
                </c:pt>
                <c:pt idx="15">
                  <c:v>22.963820429593529</c:v>
                </c:pt>
                <c:pt idx="16">
                  <c:v>23.467097249046724</c:v>
                </c:pt>
                <c:pt idx="17">
                  <c:v>23.932041655935667</c:v>
                </c:pt>
                <c:pt idx="18">
                  <c:v>24.363865112724131</c:v>
                </c:pt>
                <c:pt idx="19">
                  <c:v>24.766439913680774</c:v>
                </c:pt>
              </c:numCache>
            </c:numRef>
          </c:yVal>
          <c:smooth val="1"/>
        </c:ser>
        <c:ser>
          <c:idx val="3"/>
          <c:order val="3"/>
          <c:tx>
            <c:v>Tpr: 1.47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1976'!$AU$10:$AU$29</c:f>
              <c:numCache>
                <c:formatCode>0.0000;0;0</c:formatCode>
                <c:ptCount val="20"/>
                <c:pt idx="0">
                  <c:v>0.3288837532906041</c:v>
                </c:pt>
                <c:pt idx="1">
                  <c:v>2.2461222734387296</c:v>
                </c:pt>
                <c:pt idx="2">
                  <c:v>4.4926658096489591</c:v>
                </c:pt>
                <c:pt idx="3">
                  <c:v>6.9322546643978278</c:v>
                </c:pt>
                <c:pt idx="4">
                  <c:v>9.3110499373679279</c:v>
                </c:pt>
                <c:pt idx="5">
                  <c:v>11.432003038746588</c:v>
                </c:pt>
                <c:pt idx="6">
                  <c:v>13.243552919865115</c:v>
                </c:pt>
                <c:pt idx="7">
                  <c:v>14.777948489837474</c:v>
                </c:pt>
                <c:pt idx="8">
                  <c:v>16.087038089299451</c:v>
                </c:pt>
                <c:pt idx="9">
                  <c:v>17.217699509817177</c:v>
                </c:pt>
                <c:pt idx="10">
                  <c:v>18.206389268893986</c:v>
                </c:pt>
                <c:pt idx="11">
                  <c:v>19.081348842885923</c:v>
                </c:pt>
                <c:pt idx="12">
                  <c:v>19.863264572840709</c:v>
                </c:pt>
                <c:pt idx="13">
                  <c:v>20.568392620511453</c:v>
                </c:pt>
                <c:pt idx="14">
                  <c:v>21.209006337795429</c:v>
                </c:pt>
                <c:pt idx="15">
                  <c:v>21.795179052267198</c:v>
                </c:pt>
                <c:pt idx="16">
                  <c:v>22.334241073348387</c:v>
                </c:pt>
                <c:pt idx="17">
                  <c:v>22.832740045501446</c:v>
                </c:pt>
                <c:pt idx="18">
                  <c:v>23.2959111681322</c:v>
                </c:pt>
                <c:pt idx="19">
                  <c:v>23.727739286997693</c:v>
                </c:pt>
              </c:numCache>
            </c:numRef>
          </c:yVal>
          <c:smooth val="1"/>
        </c:ser>
        <c:ser>
          <c:idx val="4"/>
          <c:order val="4"/>
          <c:tx>
            <c:v>Tpr: 1.56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1976'!$AZ$10:$AZ$29</c:f>
              <c:numCache>
                <c:formatCode>0.0000;0;0</c:formatCode>
                <c:ptCount val="20"/>
                <c:pt idx="0">
                  <c:v>0.31004782040532491</c:v>
                </c:pt>
                <c:pt idx="1">
                  <c:v>2.0784851346335751</c:v>
                </c:pt>
                <c:pt idx="2">
                  <c:v>4.0775314545827959</c:v>
                </c:pt>
                <c:pt idx="3">
                  <c:v>6.2054397630888571</c:v>
                </c:pt>
                <c:pt idx="4">
                  <c:v>8.3047032258880815</c:v>
                </c:pt>
                <c:pt idx="5">
                  <c:v>10.242958638127895</c:v>
                </c:pt>
                <c:pt idx="6">
                  <c:v>11.962776006891945</c:v>
                </c:pt>
                <c:pt idx="7">
                  <c:v>13.465042080869194</c:v>
                </c:pt>
                <c:pt idx="8">
                  <c:v>14.775638408300992</c:v>
                </c:pt>
                <c:pt idx="9">
                  <c:v>15.925364226061157</c:v>
                </c:pt>
                <c:pt idx="10">
                  <c:v>16.942070162984706</c:v>
                </c:pt>
                <c:pt idx="11">
                  <c:v>17.848694795167418</c:v>
                </c:pt>
                <c:pt idx="12">
                  <c:v>18.663688733952057</c:v>
                </c:pt>
                <c:pt idx="13">
                  <c:v>19.401832379944757</c:v>
                </c:pt>
                <c:pt idx="14">
                  <c:v>20.07460192524449</c:v>
                </c:pt>
                <c:pt idx="15">
                  <c:v>20.6914187889662</c:v>
                </c:pt>
                <c:pt idx="16">
                  <c:v>21.259869870203449</c:v>
                </c:pt>
                <c:pt idx="17">
                  <c:v>21.786403123113278</c:v>
                </c:pt>
                <c:pt idx="18">
                  <c:v>22.27596243698159</c:v>
                </c:pt>
                <c:pt idx="19">
                  <c:v>22.733038973208643</c:v>
                </c:pt>
              </c:numCache>
            </c:numRef>
          </c:yVal>
          <c:smooth val="1"/>
        </c:ser>
        <c:ser>
          <c:idx val="5"/>
          <c:order val="5"/>
          <c:tx>
            <c:v>Tpr: 1.64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1976'!$BE$10:$BE$29</c:f>
              <c:numCache>
                <c:formatCode>0.0000;0;0</c:formatCode>
                <c:ptCount val="20"/>
                <c:pt idx="0">
                  <c:v>0.29332377045135588</c:v>
                </c:pt>
                <c:pt idx="1">
                  <c:v>1.9381940704846732</c:v>
                </c:pt>
                <c:pt idx="2">
                  <c:v>3.7488729589938377</c:v>
                </c:pt>
                <c:pt idx="3">
                  <c:v>5.6468879978445967</c:v>
                </c:pt>
                <c:pt idx="4">
                  <c:v>7.526559519725283</c:v>
                </c:pt>
                <c:pt idx="5">
                  <c:v>9.297153639853736</c:v>
                </c:pt>
                <c:pt idx="6">
                  <c:v>10.909866025203485</c:v>
                </c:pt>
                <c:pt idx="7">
                  <c:v>12.353327924188308</c:v>
                </c:pt>
                <c:pt idx="8">
                  <c:v>13.638331426730788</c:v>
                </c:pt>
                <c:pt idx="9">
                  <c:v>14.783218260157327</c:v>
                </c:pt>
                <c:pt idx="10">
                  <c:v>15.807594933008403</c:v>
                </c:pt>
                <c:pt idx="11">
                  <c:v>16.729258709979618</c:v>
                </c:pt>
                <c:pt idx="12">
                  <c:v>17.563599295488739</c:v>
                </c:pt>
                <c:pt idx="13">
                  <c:v>18.323209673864021</c:v>
                </c:pt>
                <c:pt idx="14">
                  <c:v>19.018629786383258</c:v>
                </c:pt>
                <c:pt idx="15">
                  <c:v>19.658319537381772</c:v>
                </c:pt>
                <c:pt idx="16">
                  <c:v>20.249415256172153</c:v>
                </c:pt>
                <c:pt idx="17">
                  <c:v>20.798136353136403</c:v>
                </c:pt>
                <c:pt idx="18">
                  <c:v>21.309374449096101</c:v>
                </c:pt>
                <c:pt idx="19">
                  <c:v>21.787168259077664</c:v>
                </c:pt>
              </c:numCache>
            </c:numRef>
          </c:yVal>
          <c:smooth val="1"/>
        </c:ser>
        <c:ser>
          <c:idx val="6"/>
          <c:order val="6"/>
          <c:tx>
            <c:v>Tpr: 1.73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1976'!$BJ$10:$BJ$29</c:f>
              <c:numCache>
                <c:formatCode>0.0000;0;0</c:formatCode>
                <c:ptCount val="20"/>
                <c:pt idx="0">
                  <c:v>0.27836509601537457</c:v>
                </c:pt>
                <c:pt idx="1">
                  <c:v>1.8183968490997107</c:v>
                </c:pt>
                <c:pt idx="2">
                  <c:v>3.4797507328995869</c:v>
                </c:pt>
                <c:pt idx="3">
                  <c:v>5.2004473522942849</c:v>
                </c:pt>
                <c:pt idx="4">
                  <c:v>6.9057377466516865</c:v>
                </c:pt>
                <c:pt idx="5">
                  <c:v>8.5312840066440838</c:v>
                </c:pt>
                <c:pt idx="6">
                  <c:v>10.038294857025214</c:v>
                </c:pt>
                <c:pt idx="7">
                  <c:v>11.412464914485593</c:v>
                </c:pt>
                <c:pt idx="8">
                  <c:v>12.65616532466958</c:v>
                </c:pt>
                <c:pt idx="9">
                  <c:v>13.779962310107608</c:v>
                </c:pt>
                <c:pt idx="10">
                  <c:v>14.796868841707266</c:v>
                </c:pt>
                <c:pt idx="11">
                  <c:v>15.720377635511518</c:v>
                </c:pt>
                <c:pt idx="12">
                  <c:v>16.562331271813584</c:v>
                </c:pt>
                <c:pt idx="13">
                  <c:v>17.333561931853673</c:v>
                </c:pt>
                <c:pt idx="14">
                  <c:v>18.042761039103173</c:v>
                </c:pt>
                <c:pt idx="15">
                  <c:v>18.697914574666203</c:v>
                </c:pt>
                <c:pt idx="16">
                  <c:v>19.3053375641576</c:v>
                </c:pt>
                <c:pt idx="17">
                  <c:v>19.870471306347433</c:v>
                </c:pt>
                <c:pt idx="18">
                  <c:v>20.398405361018558</c:v>
                </c:pt>
                <c:pt idx="19">
                  <c:v>20.892690908929101</c:v>
                </c:pt>
              </c:numCache>
            </c:numRef>
          </c:yVal>
          <c:smooth val="1"/>
        </c:ser>
        <c:ser>
          <c:idx val="7"/>
          <c:order val="7"/>
          <c:tx>
            <c:v>Tpr: 1.81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1976'!$BO$10:$BO$29</c:f>
              <c:numCache>
                <c:formatCode>0.0000;0;0</c:formatCode>
                <c:ptCount val="20"/>
                <c:pt idx="0">
                  <c:v>0.26490164447118919</c:v>
                </c:pt>
                <c:pt idx="1">
                  <c:v>1.7145349094249012</c:v>
                </c:pt>
                <c:pt idx="2">
                  <c:v>3.2537775204895611</c:v>
                </c:pt>
                <c:pt idx="3">
                  <c:v>4.8330153658414785</c:v>
                </c:pt>
                <c:pt idx="4">
                  <c:v>6.3971303571265965</c:v>
                </c:pt>
                <c:pt idx="5">
                  <c:v>7.8990436239329958</c:v>
                </c:pt>
                <c:pt idx="6">
                  <c:v>9.3084761372497997</c:v>
                </c:pt>
                <c:pt idx="7">
                  <c:v>10.611702081016691</c:v>
                </c:pt>
                <c:pt idx="8">
                  <c:v>11.807056417238485</c:v>
                </c:pt>
                <c:pt idx="9">
                  <c:v>12.900042883377582</c:v>
                </c:pt>
                <c:pt idx="10">
                  <c:v>13.899407600373451</c:v>
                </c:pt>
                <c:pt idx="11">
                  <c:v>14.814680521927713</c:v>
                </c:pt>
                <c:pt idx="12">
                  <c:v>15.655187841424921</c:v>
                </c:pt>
                <c:pt idx="13">
                  <c:v>16.429461764136789</c:v>
                </c:pt>
                <c:pt idx="14">
                  <c:v>17.145335403601337</c:v>
                </c:pt>
                <c:pt idx="15">
                  <c:v>17.809307296554209</c:v>
                </c:pt>
                <c:pt idx="16">
                  <c:v>18.427222286257958</c:v>
                </c:pt>
                <c:pt idx="17">
                  <c:v>19.003924647909727</c:v>
                </c:pt>
                <c:pt idx="18">
                  <c:v>19.543873416854545</c:v>
                </c:pt>
                <c:pt idx="19">
                  <c:v>20.050744160106504</c:v>
                </c:pt>
              </c:numCache>
            </c:numRef>
          </c:yVal>
          <c:smooth val="1"/>
        </c:ser>
        <c:ser>
          <c:idx val="8"/>
          <c:order val="8"/>
          <c:tx>
            <c:v>Tpr: 1.9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0.15140000000000001</c:v>
                </c:pt>
                <c:pt idx="1">
                  <c:v>0.94040000000000001</c:v>
                </c:pt>
                <c:pt idx="2">
                  <c:v>1.7293000000000001</c:v>
                </c:pt>
                <c:pt idx="3">
                  <c:v>2.5183</c:v>
                </c:pt>
                <c:pt idx="4">
                  <c:v>3.3071999999999999</c:v>
                </c:pt>
                <c:pt idx="5">
                  <c:v>4.0961999999999996</c:v>
                </c:pt>
                <c:pt idx="6">
                  <c:v>4.8851000000000004</c:v>
                </c:pt>
                <c:pt idx="7">
                  <c:v>5.6740000000000004</c:v>
                </c:pt>
                <c:pt idx="8">
                  <c:v>6.4630000000000001</c:v>
                </c:pt>
                <c:pt idx="9">
                  <c:v>7.2519</c:v>
                </c:pt>
                <c:pt idx="10">
                  <c:v>8.0409000000000006</c:v>
                </c:pt>
                <c:pt idx="11">
                  <c:v>8.8298000000000005</c:v>
                </c:pt>
                <c:pt idx="12">
                  <c:v>9.6188000000000002</c:v>
                </c:pt>
                <c:pt idx="13">
                  <c:v>10.4077</c:v>
                </c:pt>
                <c:pt idx="14">
                  <c:v>11.1967</c:v>
                </c:pt>
                <c:pt idx="15">
                  <c:v>11.9856</c:v>
                </c:pt>
                <c:pt idx="16">
                  <c:v>12.7746</c:v>
                </c:pt>
                <c:pt idx="17">
                  <c:v>13.563499999999999</c:v>
                </c:pt>
                <c:pt idx="18">
                  <c:v>14.352499999999999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1976'!$BT$10:$BT$29</c:f>
              <c:numCache>
                <c:formatCode>0.0000;0;0</c:formatCode>
                <c:ptCount val="20"/>
                <c:pt idx="0">
                  <c:v>0.25271199765155583</c:v>
                </c:pt>
                <c:pt idx="1">
                  <c:v>1.6233353776487298</c:v>
                </c:pt>
                <c:pt idx="2">
                  <c:v>3.0604080318258582</c:v>
                </c:pt>
                <c:pt idx="3">
                  <c:v>4.5237363893317477</c:v>
                </c:pt>
                <c:pt idx="4">
                  <c:v>5.9713392303823278</c:v>
                </c:pt>
                <c:pt idx="5">
                  <c:v>7.3679578328258106</c:v>
                </c:pt>
                <c:pt idx="6">
                  <c:v>8.6898301985492346</c:v>
                </c:pt>
                <c:pt idx="7">
                  <c:v>9.9247649295356073</c:v>
                </c:pt>
                <c:pt idx="8">
                  <c:v>11.069607609648278</c:v>
                </c:pt>
                <c:pt idx="9">
                  <c:v>12.126898724384233</c:v>
                </c:pt>
                <c:pt idx="10">
                  <c:v>13.102250567399548</c:v>
                </c:pt>
                <c:pt idx="11">
                  <c:v>14.002468870731642</c:v>
                </c:pt>
                <c:pt idx="12">
                  <c:v>14.834844537513895</c:v>
                </c:pt>
                <c:pt idx="13">
                  <c:v>15.606056094397712</c:v>
                </c:pt>
                <c:pt idx="14">
                  <c:v>16.322695136302347</c:v>
                </c:pt>
                <c:pt idx="15">
                  <c:v>16.990101227604178</c:v>
                </c:pt>
                <c:pt idx="16">
                  <c:v>17.613409110258637</c:v>
                </c:pt>
                <c:pt idx="17">
                  <c:v>18.197057840936608</c:v>
                </c:pt>
                <c:pt idx="18">
                  <c:v>18.745059538993601</c:v>
                </c:pt>
                <c:pt idx="19">
                  <c:v>19.260742814161873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83024"/>
        <c:axId val="1092083584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084704"/>
        <c:axId val="1092084144"/>
      </c:scatterChart>
      <c:valAx>
        <c:axId val="1092083024"/>
        <c:scaling>
          <c:orientation val="minMax"/>
          <c:max val="15.141400000000001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Ppr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092083584"/>
        <c:crossesAt val="0"/>
        <c:crossBetween val="midCat"/>
      </c:valAx>
      <c:valAx>
        <c:axId val="1092083584"/>
        <c:scaling>
          <c:orientation val="minMax"/>
          <c:max val="24.766439913680774"/>
          <c:min val="0.25271199765155583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1092083024"/>
        <c:crossesAt val="0"/>
        <c:crossBetween val="midCat"/>
      </c:valAx>
      <c:valAx>
        <c:axId val="1092084144"/>
        <c:scaling>
          <c:orientation val="minMax"/>
          <c:max val="24.766439913680774"/>
          <c:min val="0.25271199765155583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092084704"/>
        <c:crosses val="max"/>
        <c:crossBetween val="midCat"/>
      </c:valAx>
      <c:valAx>
        <c:axId val="1092084704"/>
        <c:scaling>
          <c:orientation val="minMax"/>
          <c:max val="15.141400000000001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109208414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9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</xdr:row>
      <xdr:rowOff>128214</xdr:rowOff>
    </xdr:from>
    <xdr:to>
      <xdr:col>10</xdr:col>
      <xdr:colOff>0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Rectangle 1" descr="1c3801b2-ad66-49a8-af68-77037bdbbe9c"/>
            <xdr:cNvSpPr/>
          </xdr:nvSpPr>
          <xdr:spPr>
            <a:xfrm>
              <a:off x="5082540" y="303474"/>
              <a:ext cx="754380" cy="2488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BO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𝑀𝑊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Rectangle 1" descr="1c3801b2-ad66-49a8-af68-77037bdbbe9c"/>
            <xdr:cNvSpPr/>
          </xdr:nvSpPr>
          <xdr:spPr>
            <a:xfrm>
              <a:off x="5082540" y="303474"/>
              <a:ext cx="754380" cy="2488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×〖</a:t>
              </a:r>
              <a:r>
                <a:rPr lang="es-BO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𝑀𝑊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10</xdr:col>
      <xdr:colOff>31047</xdr:colOff>
      <xdr:row>1</xdr:row>
      <xdr:rowOff>123854</xdr:rowOff>
    </xdr:from>
    <xdr:to>
      <xdr:col>10</xdr:col>
      <xdr:colOff>702962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Rectangle 2" descr="fdfa3f7c-a1fd-4e8b-b7bc-1ff240680ba6"/>
            <xdr:cNvSpPr/>
          </xdr:nvSpPr>
          <xdr:spPr>
            <a:xfrm>
              <a:off x="5867967" y="299114"/>
              <a:ext cx="671915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" name="Rectangle 2" descr="fdfa3f7c-a1fd-4e8b-b7bc-1ff240680ba6"/>
            <xdr:cNvSpPr/>
          </xdr:nvSpPr>
          <xdr:spPr>
            <a:xfrm>
              <a:off x="5867967" y="299114"/>
              <a:ext cx="671915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×𝑇_(𝑐,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11</xdr:col>
      <xdr:colOff>45720</xdr:colOff>
      <xdr:row>1</xdr:row>
      <xdr:rowOff>123854</xdr:rowOff>
    </xdr:from>
    <xdr:to>
      <xdr:col>11</xdr:col>
      <xdr:colOff>720841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Rectangle 3" descr="c2ad3cc2-c596-4e78-8b67-6690d66cf7f9"/>
            <xdr:cNvSpPr/>
          </xdr:nvSpPr>
          <xdr:spPr>
            <a:xfrm>
              <a:off x="664464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Rectangle 3" descr="c2ad3cc2-c596-4e78-8b67-6690d66cf7f9"/>
            <xdr:cNvSpPr/>
          </xdr:nvSpPr>
          <xdr:spPr>
            <a:xfrm>
              <a:off x="664464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×𝑃_(𝑐,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12</xdr:col>
      <xdr:colOff>53340</xdr:colOff>
      <xdr:row>1</xdr:row>
      <xdr:rowOff>123854</xdr:rowOff>
    </xdr:from>
    <xdr:to>
      <xdr:col>12</xdr:col>
      <xdr:colOff>728461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Rectangle 4" descr="4271f853-1735-4920-aeeb-95094ebbd0f6"/>
            <xdr:cNvSpPr/>
          </xdr:nvSpPr>
          <xdr:spPr>
            <a:xfrm>
              <a:off x="741426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Rectangle 4" descr="4271f853-1735-4920-aeeb-95094ebbd0f6"/>
            <xdr:cNvSpPr/>
          </xdr:nvSpPr>
          <xdr:spPr>
            <a:xfrm>
              <a:off x="741426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×𝜔_(𝑐,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oneCellAnchor>
    <xdr:from>
      <xdr:col>2</xdr:col>
      <xdr:colOff>79343</xdr:colOff>
      <xdr:row>20</xdr:row>
      <xdr:rowOff>27463</xdr:rowOff>
    </xdr:from>
    <xdr:ext cx="362535" cy="4650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1511903" y="3540283"/>
              <a:ext cx="362535" cy="4650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BO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BO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511903" y="3540283"/>
              <a:ext cx="362535" cy="4650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BO" sz="1100" i="0">
                  <a:latin typeface="Cambria Math" panose="02040503050406030204" pitchFamily="18" charset="0"/>
                </a:rPr>
                <a:t>∑</a:t>
              </a:r>
              <a:r>
                <a:rPr lang="es-BO" sz="1100" b="0" i="0">
                  <a:latin typeface="Cambria Math" panose="02040503050406030204" pitchFamily="18" charset="0"/>
                </a:rPr>
                <a:t>_(𝑖=1)^𝑛▒𝑦_𝑖 </a:t>
              </a:r>
              <a:endParaRPr lang="es-BO" sz="1100"/>
            </a:p>
          </xdr:txBody>
        </xdr:sp>
      </mc:Fallback>
    </mc:AlternateContent>
    <xdr:clientData/>
  </xdr:oneCellAnchor>
  <xdr:twoCellAnchor>
    <xdr:from>
      <xdr:col>14</xdr:col>
      <xdr:colOff>38100</xdr:colOff>
      <xdr:row>10</xdr:row>
      <xdr:rowOff>53340</xdr:rowOff>
    </xdr:from>
    <xdr:to>
      <xdr:col>14</xdr:col>
      <xdr:colOff>1226820</xdr:colOff>
      <xdr:row>12</xdr:row>
      <xdr:rowOff>149694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23"/>
            <xdr:cNvSpPr txBox="1"/>
          </xdr:nvSpPr>
          <xdr:spPr>
            <a:xfrm>
              <a:off x="8389620" y="176784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9" name="TextBox 23"/>
            <xdr:cNvSpPr txBox="1"/>
          </xdr:nvSpPr>
          <xdr:spPr>
            <a:xfrm>
              <a:off x="8389620" y="176784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𝑇_(𝑐,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13</xdr:row>
      <xdr:rowOff>22860</xdr:rowOff>
    </xdr:from>
    <xdr:to>
      <xdr:col>14</xdr:col>
      <xdr:colOff>1226820</xdr:colOff>
      <xdr:row>15</xdr:row>
      <xdr:rowOff>119214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23"/>
            <xdr:cNvSpPr txBox="1"/>
          </xdr:nvSpPr>
          <xdr:spPr>
            <a:xfrm>
              <a:off x="8389620" y="228600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1" name="TextBox 23"/>
            <xdr:cNvSpPr txBox="1"/>
          </xdr:nvSpPr>
          <xdr:spPr>
            <a:xfrm>
              <a:off x="8389620" y="228600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16</xdr:row>
      <xdr:rowOff>38100</xdr:rowOff>
    </xdr:from>
    <xdr:to>
      <xdr:col>14</xdr:col>
      <xdr:colOff>1226820</xdr:colOff>
      <xdr:row>18</xdr:row>
      <xdr:rowOff>134454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23"/>
            <xdr:cNvSpPr txBox="1"/>
          </xdr:nvSpPr>
          <xdr:spPr>
            <a:xfrm>
              <a:off x="8389620" y="284988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2" name="TextBox 23"/>
            <xdr:cNvSpPr txBox="1"/>
          </xdr:nvSpPr>
          <xdr:spPr>
            <a:xfrm>
              <a:off x="8389620" y="284988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𝜔_(𝑐,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4</xdr:row>
      <xdr:rowOff>45720</xdr:rowOff>
    </xdr:from>
    <xdr:to>
      <xdr:col>15</xdr:col>
      <xdr:colOff>15240</xdr:colOff>
      <xdr:row>6</xdr:row>
      <xdr:rowOff>142074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23"/>
            <xdr:cNvSpPr txBox="1"/>
          </xdr:nvSpPr>
          <xdr:spPr>
            <a:xfrm>
              <a:off x="8389620" y="662940"/>
              <a:ext cx="131064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𝑀𝑊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3" name="TextBox 23"/>
            <xdr:cNvSpPr txBox="1"/>
          </xdr:nvSpPr>
          <xdr:spPr>
            <a:xfrm>
              <a:off x="8389620" y="662940"/>
              <a:ext cx="131064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7</xdr:row>
      <xdr:rowOff>121920</xdr:rowOff>
    </xdr:from>
    <xdr:to>
      <xdr:col>14</xdr:col>
      <xdr:colOff>1226820</xdr:colOff>
      <xdr:row>9</xdr:row>
      <xdr:rowOff>76889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23"/>
            <xdr:cNvSpPr txBox="1"/>
          </xdr:nvSpPr>
          <xdr:spPr>
            <a:xfrm>
              <a:off x="8389620" y="1287780"/>
              <a:ext cx="1188720" cy="32072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𝑆𝐺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28.967</m:t>
                        </m:r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4" name="TextBox 23"/>
            <xdr:cNvSpPr txBox="1"/>
          </xdr:nvSpPr>
          <xdr:spPr>
            <a:xfrm>
              <a:off x="8389620" y="1287780"/>
              <a:ext cx="1188720" cy="32072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𝑆𝐺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𝑀𝑊〗_𝑔/28.967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14</xdr:row>
      <xdr:rowOff>7620</xdr:rowOff>
    </xdr:from>
    <xdr:to>
      <xdr:col>18</xdr:col>
      <xdr:colOff>2476500</xdr:colOff>
      <xdr:row>15</xdr:row>
      <xdr:rowOff>7354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5"/>
            <xdr:cNvSpPr txBox="1"/>
          </xdr:nvSpPr>
          <xdr:spPr>
            <a:xfrm>
              <a:off x="9875521" y="2453640"/>
              <a:ext cx="2423159" cy="1826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sup>
                    </m:sSubSup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7" name="TextBox 5"/>
            <xdr:cNvSpPr txBox="1"/>
          </xdr:nvSpPr>
          <xdr:spPr>
            <a:xfrm>
              <a:off x="9875521" y="2453640"/>
              <a:ext cx="2423159" cy="1826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𝑇_𝑝𝑐^′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𝑇_𝑝𝑐−𝜀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16</xdr:row>
      <xdr:rowOff>51300</xdr:rowOff>
    </xdr:from>
    <xdr:to>
      <xdr:col>18</xdr:col>
      <xdr:colOff>1805940</xdr:colOff>
      <xdr:row>18</xdr:row>
      <xdr:rowOff>78148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6"/>
            <xdr:cNvSpPr txBox="1"/>
          </xdr:nvSpPr>
          <xdr:spPr>
            <a:xfrm>
              <a:off x="9875521" y="2863080"/>
              <a:ext cx="1752599" cy="39260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sup>
                    </m:sSubSup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  <m:sup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′</m:t>
                            </m:r>
                          </m:sup>
                        </m:sSubSup>
                      </m:num>
                      <m:den>
                        <m:d>
                          <m:dPr>
                            <m:begChr m:val="["/>
                            <m:endChr m:val="]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𝑝𝑐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1−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</m:d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8" name="TextBox 6"/>
            <xdr:cNvSpPr txBox="1"/>
          </xdr:nvSpPr>
          <xdr:spPr>
            <a:xfrm>
              <a:off x="9875521" y="2863080"/>
              <a:ext cx="1752599" cy="39260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𝑃_𝑝𝑐^′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𝑃_𝑝𝑐 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𝑇_𝑝𝑐^′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)/[𝑇_𝑝𝑐+𝐵(1−𝐵)𝜀] 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6</xdr:row>
      <xdr:rowOff>99060</xdr:rowOff>
    </xdr:from>
    <xdr:to>
      <xdr:col>18</xdr:col>
      <xdr:colOff>1241825</xdr:colOff>
      <xdr:row>7</xdr:row>
      <xdr:rowOff>106744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3"/>
            <xdr:cNvSpPr txBox="1"/>
          </xdr:nvSpPr>
          <xdr:spPr>
            <a:xfrm>
              <a:off x="9875521" y="1082040"/>
              <a:ext cx="1188484" cy="19056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𝐴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𝐶𝑂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sub>
                    </m:sSub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0" name="TextBox 3"/>
            <xdr:cNvSpPr txBox="1"/>
          </xdr:nvSpPr>
          <xdr:spPr>
            <a:xfrm>
              <a:off x="9875521" y="1082040"/>
              <a:ext cx="1188484" cy="19056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𝑦_(〖𝐶𝑂〗_2 )+𝑦_(𝐻_2 𝑆)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8</xdr:row>
      <xdr:rowOff>117106</xdr:rowOff>
    </xdr:from>
    <xdr:to>
      <xdr:col>18</xdr:col>
      <xdr:colOff>1241826</xdr:colOff>
      <xdr:row>9</xdr:row>
      <xdr:rowOff>117994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4"/>
            <xdr:cNvSpPr txBox="1"/>
          </xdr:nvSpPr>
          <xdr:spPr>
            <a:xfrm>
              <a:off x="9875521" y="1465846"/>
              <a:ext cx="1188485" cy="18376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𝐵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sub>
                    </m:sSub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1" name="TextBox 4"/>
            <xdr:cNvSpPr txBox="1"/>
          </xdr:nvSpPr>
          <xdr:spPr>
            <a:xfrm>
              <a:off x="9875521" y="1465846"/>
              <a:ext cx="1188485" cy="18376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𝐵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𝑦_(𝐻_2 𝑆)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10</xdr:row>
      <xdr:rowOff>121921</xdr:rowOff>
    </xdr:from>
    <xdr:to>
      <xdr:col>18</xdr:col>
      <xdr:colOff>2331720</xdr:colOff>
      <xdr:row>11</xdr:row>
      <xdr:rowOff>116782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"/>
            <xdr:cNvSpPr txBox="1"/>
          </xdr:nvSpPr>
          <xdr:spPr>
            <a:xfrm>
              <a:off x="9875521" y="1836421"/>
              <a:ext cx="2278379" cy="17774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=120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1.6</m:t>
                            </m:r>
                          </m:sup>
                        </m:sSup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+15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0.5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2" name="TextBox 2"/>
            <xdr:cNvSpPr txBox="1"/>
          </xdr:nvSpPr>
          <xdr:spPr>
            <a:xfrm>
              <a:off x="9875521" y="1836421"/>
              <a:ext cx="2278379" cy="17774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120(𝐴^0.9−𝐴^1.6 )+15(𝐵^0.5−𝐵^4 )</a:t>
              </a:r>
              <a:endParaRPr lang="es-BO"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6</xdr:row>
      <xdr:rowOff>38100</xdr:rowOff>
    </xdr:from>
    <xdr:to>
      <xdr:col>2</xdr:col>
      <xdr:colOff>723900</xdr:colOff>
      <xdr:row>8</xdr:row>
      <xdr:rowOff>97374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23"/>
            <xdr:cNvSpPr txBox="1"/>
          </xdr:nvSpPr>
          <xdr:spPr>
            <a:xfrm>
              <a:off x="1676400" y="952500"/>
              <a:ext cx="6400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" name="TextBox 23"/>
            <xdr:cNvSpPr txBox="1"/>
          </xdr:nvSpPr>
          <xdr:spPr>
            <a:xfrm>
              <a:off x="1676400" y="952500"/>
              <a:ext cx="6400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𝑇/𝑇_𝑝𝑐 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3</xdr:col>
      <xdr:colOff>91440</xdr:colOff>
      <xdr:row>6</xdr:row>
      <xdr:rowOff>45720</xdr:rowOff>
    </xdr:from>
    <xdr:to>
      <xdr:col>3</xdr:col>
      <xdr:colOff>693420</xdr:colOff>
      <xdr:row>8</xdr:row>
      <xdr:rowOff>104994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3"/>
            <xdr:cNvSpPr txBox="1"/>
          </xdr:nvSpPr>
          <xdr:spPr>
            <a:xfrm>
              <a:off x="2430780" y="960120"/>
              <a:ext cx="6019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3" name="TextBox 23"/>
            <xdr:cNvSpPr txBox="1"/>
          </xdr:nvSpPr>
          <xdr:spPr>
            <a:xfrm>
              <a:off x="2430780" y="960120"/>
              <a:ext cx="6019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𝑃/𝑃_𝑝𝑐 </a:t>
              </a:r>
              <a:endParaRPr lang="es-BO" sz="1100"/>
            </a:p>
          </xdr:txBody>
        </xdr:sp>
      </mc:Fallback>
    </mc:AlternateContent>
    <xdr:clientData/>
  </xdr:twoCellAnchor>
  <xdr:twoCellAnchor editAs="oneCell">
    <xdr:from>
      <xdr:col>21</xdr:col>
      <xdr:colOff>0</xdr:colOff>
      <xdr:row>6</xdr:row>
      <xdr:rowOff>0</xdr:rowOff>
    </xdr:from>
    <xdr:to>
      <xdr:col>34</xdr:col>
      <xdr:colOff>518340</xdr:colOff>
      <xdr:row>30</xdr:row>
      <xdr:rowOff>122851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49400" y="914400"/>
          <a:ext cx="7650660" cy="37804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16</xdr:col>
      <xdr:colOff>0</xdr:colOff>
      <xdr:row>17</xdr:row>
      <xdr:rowOff>0</xdr:rowOff>
    </xdr:to>
    <xdr:graphicFrame macro="">
      <xdr:nvGraphicFramePr>
        <xdr:cNvPr id="2" name="ZFacto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1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3" name="GasViscosit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0</xdr:colOff>
      <xdr:row>17</xdr:row>
      <xdr:rowOff>0</xdr:rowOff>
    </xdr:from>
    <xdr:to>
      <xdr:col>16</xdr:col>
      <xdr:colOff>0</xdr:colOff>
      <xdr:row>33</xdr:row>
      <xdr:rowOff>0</xdr:rowOff>
    </xdr:to>
    <xdr:graphicFrame macro="">
      <xdr:nvGraphicFramePr>
        <xdr:cNvPr id="4" name="Bg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0</xdr:colOff>
      <xdr:row>17</xdr:row>
      <xdr:rowOff>0</xdr:rowOff>
    </xdr:from>
    <xdr:to>
      <xdr:col>24</xdr:col>
      <xdr:colOff>0</xdr:colOff>
      <xdr:row>33</xdr:row>
      <xdr:rowOff>0</xdr:rowOff>
    </xdr:to>
    <xdr:graphicFrame macro="">
      <xdr:nvGraphicFramePr>
        <xdr:cNvPr id="5" name="GasDensit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2</xdr:row>
      <xdr:rowOff>63500</xdr:rowOff>
    </xdr:from>
    <xdr:to>
      <xdr:col>2</xdr:col>
      <xdr:colOff>0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SGg"/>
            <xdr:cNvSpPr txBox="1"/>
          </xdr:nvSpPr>
          <xdr:spPr>
            <a:xfrm>
              <a:off x="612140" y="353060"/>
              <a:ext cx="1841500" cy="37084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𝑆𝐺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28.967</m:t>
                        </m:r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" name="SGg"/>
            <xdr:cNvSpPr txBox="1"/>
          </xdr:nvSpPr>
          <xdr:spPr>
            <a:xfrm>
              <a:off x="612140" y="353060"/>
              <a:ext cx="1841500" cy="37084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𝑆𝐺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𝑀𝑊〗_𝑔/28.967</a:t>
              </a:r>
              <a:endParaRPr lang="es-BO" sz="1100"/>
            </a:p>
          </xdr:txBody>
        </xdr:sp>
      </mc:Fallback>
    </mc:AlternateContent>
    <xdr:clientData/>
  </xdr:twoCellAnchor>
  <xdr:twoCellAnchor editAs="oneCell">
    <xdr:from>
      <xdr:col>9</xdr:col>
      <xdr:colOff>15240</xdr:colOff>
      <xdr:row>39</xdr:row>
      <xdr:rowOff>83820</xdr:rowOff>
    </xdr:from>
    <xdr:to>
      <xdr:col>15</xdr:col>
      <xdr:colOff>787005</xdr:colOff>
      <xdr:row>93</xdr:row>
      <xdr:rowOff>116755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3940" y="5760720"/>
          <a:ext cx="5800965" cy="826253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25</xdr:col>
      <xdr:colOff>0</xdr:colOff>
      <xdr:row>19</xdr:row>
      <xdr:rowOff>0</xdr:rowOff>
    </xdr:to>
    <xdr:graphicFrame macro="">
      <xdr:nvGraphicFramePr>
        <xdr:cNvPr id="26" name="Ppc_adj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19</xdr:row>
      <xdr:rowOff>0</xdr:rowOff>
    </xdr:from>
    <xdr:to>
      <xdr:col>25</xdr:col>
      <xdr:colOff>0</xdr:colOff>
      <xdr:row>36</xdr:row>
      <xdr:rowOff>0</xdr:rowOff>
    </xdr:to>
    <xdr:graphicFrame macro="">
      <xdr:nvGraphicFramePr>
        <xdr:cNvPr id="27" name="Tpc_adj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0</xdr:row>
      <xdr:rowOff>0</xdr:rowOff>
    </xdr:from>
    <xdr:to>
      <xdr:col>17</xdr:col>
      <xdr:colOff>0</xdr:colOff>
      <xdr:row>19</xdr:row>
      <xdr:rowOff>0</xdr:rowOff>
    </xdr:to>
    <xdr:graphicFrame macro="">
      <xdr:nvGraphicFramePr>
        <xdr:cNvPr id="29" name="Ppc_ws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0</xdr:colOff>
      <xdr:row>19</xdr:row>
      <xdr:rowOff>0</xdr:rowOff>
    </xdr:from>
    <xdr:to>
      <xdr:col>17</xdr:col>
      <xdr:colOff>0</xdr:colOff>
      <xdr:row>36</xdr:row>
      <xdr:rowOff>0</xdr:rowOff>
    </xdr:to>
    <xdr:graphicFrame macro="">
      <xdr:nvGraphicFramePr>
        <xdr:cNvPr id="30" name="Tpc_ws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23</xdr:row>
          <xdr:rowOff>60960</xdr:rowOff>
        </xdr:from>
        <xdr:to>
          <xdr:col>5</xdr:col>
          <xdr:colOff>1005840</xdr:colOff>
          <xdr:row>25</xdr:row>
          <xdr:rowOff>30480</xdr:rowOff>
        </xdr:to>
        <xdr:sp macro="" textlink="">
          <xdr:nvSpPr>
            <xdr:cNvPr id="5121" name="Check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25</xdr:row>
          <xdr:rowOff>60960</xdr:rowOff>
        </xdr:from>
        <xdr:to>
          <xdr:col>5</xdr:col>
          <xdr:colOff>1013460</xdr:colOff>
          <xdr:row>27</xdr:row>
          <xdr:rowOff>0</xdr:rowOff>
        </xdr:to>
        <xdr:sp macro="" textlink="">
          <xdr:nvSpPr>
            <xdr:cNvPr id="5122" name="CheckBox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27</xdr:row>
          <xdr:rowOff>60960</xdr:rowOff>
        </xdr:from>
        <xdr:to>
          <xdr:col>6</xdr:col>
          <xdr:colOff>60960</xdr:colOff>
          <xdr:row>29</xdr:row>
          <xdr:rowOff>22860</xdr:rowOff>
        </xdr:to>
        <xdr:sp macro="" textlink="">
          <xdr:nvSpPr>
            <xdr:cNvPr id="5123" name="CheckBox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</xdr:row>
          <xdr:rowOff>60960</xdr:rowOff>
        </xdr:from>
        <xdr:to>
          <xdr:col>6</xdr:col>
          <xdr:colOff>99060</xdr:colOff>
          <xdr:row>31</xdr:row>
          <xdr:rowOff>22860</xdr:rowOff>
        </xdr:to>
        <xdr:sp macro="" textlink="">
          <xdr:nvSpPr>
            <xdr:cNvPr id="5124" name="CheckBox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31</xdr:row>
          <xdr:rowOff>60960</xdr:rowOff>
        </xdr:from>
        <xdr:to>
          <xdr:col>6</xdr:col>
          <xdr:colOff>304800</xdr:colOff>
          <xdr:row>33</xdr:row>
          <xdr:rowOff>7620</xdr:rowOff>
        </xdr:to>
        <xdr:sp macro="" textlink="">
          <xdr:nvSpPr>
            <xdr:cNvPr id="5125" name="CheckBox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</xdr:row>
          <xdr:rowOff>60960</xdr:rowOff>
        </xdr:from>
        <xdr:to>
          <xdr:col>6</xdr:col>
          <xdr:colOff>312420</xdr:colOff>
          <xdr:row>35</xdr:row>
          <xdr:rowOff>22860</xdr:rowOff>
        </xdr:to>
        <xdr:sp macro="" textlink="">
          <xdr:nvSpPr>
            <xdr:cNvPr id="5126" name="CheckBox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76200</xdr:rowOff>
        </xdr:from>
        <xdr:to>
          <xdr:col>33</xdr:col>
          <xdr:colOff>312420</xdr:colOff>
          <xdr:row>4</xdr:row>
          <xdr:rowOff>60960</xdr:rowOff>
        </xdr:to>
        <xdr:sp macro="" textlink="">
          <xdr:nvSpPr>
            <xdr:cNvPr id="5128" name="CommandButton1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3" name="ZFacto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3</xdr:row>
      <xdr:rowOff>0</xdr:rowOff>
    </xdr:from>
    <xdr:to>
      <xdr:col>16</xdr:col>
      <xdr:colOff>0</xdr:colOff>
      <xdr:row>35</xdr:row>
      <xdr:rowOff>0</xdr:rowOff>
    </xdr:to>
    <xdr:graphicFrame macro="">
      <xdr:nvGraphicFramePr>
        <xdr:cNvPr id="4" name="GasViscosit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3</xdr:row>
      <xdr:rowOff>0</xdr:rowOff>
    </xdr:from>
    <xdr:to>
      <xdr:col>24</xdr:col>
      <xdr:colOff>0</xdr:colOff>
      <xdr:row>35</xdr:row>
      <xdr:rowOff>0</xdr:rowOff>
    </xdr:to>
    <xdr:graphicFrame macro="">
      <xdr:nvGraphicFramePr>
        <xdr:cNvPr id="5" name="Bg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25</xdr:col>
      <xdr:colOff>0</xdr:colOff>
      <xdr:row>3</xdr:row>
      <xdr:rowOff>0</xdr:rowOff>
    </xdr:from>
    <xdr:to>
      <xdr:col>32</xdr:col>
      <xdr:colOff>0</xdr:colOff>
      <xdr:row>35</xdr:row>
      <xdr:rowOff>0</xdr:rowOff>
    </xdr:to>
    <xdr:graphicFrame macro="">
      <xdr:nvGraphicFramePr>
        <xdr:cNvPr id="6" name="GasDensit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0</xdr:row>
          <xdr:rowOff>53340</xdr:rowOff>
        </xdr:from>
        <xdr:to>
          <xdr:col>7</xdr:col>
          <xdr:colOff>411480</xdr:colOff>
          <xdr:row>2</xdr:row>
          <xdr:rowOff>106680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</xdr:row>
          <xdr:rowOff>0</xdr:rowOff>
        </xdr:from>
        <xdr:to>
          <xdr:col>11</xdr:col>
          <xdr:colOff>7620</xdr:colOff>
          <xdr:row>2</xdr:row>
          <xdr:rowOff>83820</xdr:rowOff>
        </xdr:to>
        <xdr:sp macro="" textlink="">
          <xdr:nvSpPr>
            <xdr:cNvPr id="6146" name="Option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</xdr:row>
          <xdr:rowOff>7620</xdr:rowOff>
        </xdr:from>
        <xdr:to>
          <xdr:col>13</xdr:col>
          <xdr:colOff>236220</xdr:colOff>
          <xdr:row>2</xdr:row>
          <xdr:rowOff>91440</xdr:rowOff>
        </xdr:to>
        <xdr:sp macro="" textlink="">
          <xdr:nvSpPr>
            <xdr:cNvPr id="6147" name="OptionButton2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6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8.emf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Relationship Id="rId9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2"/>
  <sheetViews>
    <sheetView showGridLines="0" workbookViewId="0">
      <selection activeCell="L21" sqref="L21"/>
    </sheetView>
  </sheetViews>
  <sheetFormatPr defaultRowHeight="12" x14ac:dyDescent="0.25"/>
  <cols>
    <col min="1" max="1" width="1.5" style="2" customWidth="1"/>
    <col min="2" max="2" width="16.75" style="2" customWidth="1"/>
    <col min="3" max="3" width="7.5" style="2" customWidth="1"/>
    <col min="4" max="4" width="11.875" style="12" customWidth="1"/>
    <col min="5" max="7" width="7.875" style="12" customWidth="1"/>
    <col min="8" max="8" width="8.5" style="12" customWidth="1"/>
    <col min="9" max="9" width="1.25" style="2" customWidth="1"/>
    <col min="10" max="13" width="12.5" style="2" customWidth="1"/>
    <col min="14" max="14" width="1.25" style="2" customWidth="1"/>
    <col min="15" max="15" width="21.875" style="2" customWidth="1"/>
    <col min="16" max="16" width="10.5" style="2" customWidth="1"/>
    <col min="17" max="17" width="4.125" style="2" customWidth="1"/>
    <col min="18" max="18" width="1.75" style="2" customWidth="1"/>
    <col min="19" max="19" width="41.75" style="2" customWidth="1"/>
    <col min="20" max="20" width="9" style="2"/>
    <col min="21" max="21" width="7.5" style="2" customWidth="1"/>
    <col min="22" max="16384" width="9" style="2"/>
  </cols>
  <sheetData>
    <row r="1" spans="1:21" ht="13.8" customHeight="1" x14ac:dyDescent="0.3">
      <c r="A1" s="42">
        <v>1000</v>
      </c>
      <c r="B1" s="120" t="s">
        <v>78</v>
      </c>
      <c r="S1" s="63"/>
    </row>
    <row r="2" spans="1:21" ht="11.4" customHeight="1" x14ac:dyDescent="0.25">
      <c r="B2" s="274" t="s">
        <v>0</v>
      </c>
      <c r="C2" s="277" t="s">
        <v>1</v>
      </c>
      <c r="D2" s="13" t="s">
        <v>33</v>
      </c>
      <c r="E2" s="13" t="s">
        <v>27</v>
      </c>
      <c r="F2" s="13" t="s">
        <v>28</v>
      </c>
      <c r="G2" s="13" t="s">
        <v>29</v>
      </c>
      <c r="H2" s="271" t="s">
        <v>32</v>
      </c>
      <c r="J2" s="24"/>
      <c r="K2" s="25"/>
      <c r="L2" s="26"/>
      <c r="M2" s="26"/>
      <c r="O2" s="262" t="s">
        <v>39</v>
      </c>
      <c r="P2" s="263"/>
      <c r="Q2" s="264"/>
      <c r="S2" s="262" t="s">
        <v>69</v>
      </c>
      <c r="T2" s="263"/>
      <c r="U2" s="264"/>
    </row>
    <row r="3" spans="1:21" ht="11.4" customHeight="1" x14ac:dyDescent="0.25">
      <c r="B3" s="275"/>
      <c r="C3" s="278"/>
      <c r="D3" s="22" t="s">
        <v>38</v>
      </c>
      <c r="E3" s="21"/>
      <c r="F3" s="21"/>
      <c r="G3" s="21"/>
      <c r="H3" s="272"/>
      <c r="J3" s="27"/>
      <c r="K3" s="28"/>
      <c r="L3" s="29"/>
      <c r="M3" s="29"/>
      <c r="O3" s="265"/>
      <c r="P3" s="266"/>
      <c r="Q3" s="267"/>
      <c r="S3" s="265" t="s">
        <v>70</v>
      </c>
      <c r="T3" s="266"/>
      <c r="U3" s="267"/>
    </row>
    <row r="4" spans="1:21" ht="12" customHeight="1" x14ac:dyDescent="0.25">
      <c r="B4" s="276"/>
      <c r="C4" s="279"/>
      <c r="D4" s="14" t="s">
        <v>34</v>
      </c>
      <c r="E4" s="14"/>
      <c r="F4" s="15" t="s">
        <v>30</v>
      </c>
      <c r="G4" s="14" t="s">
        <v>31</v>
      </c>
      <c r="H4" s="273"/>
      <c r="J4" s="227"/>
      <c r="K4" s="228"/>
      <c r="L4" s="229"/>
      <c r="M4" s="229"/>
      <c r="O4" s="268"/>
      <c r="P4" s="269"/>
      <c r="Q4" s="270"/>
      <c r="S4" s="268"/>
      <c r="T4" s="269"/>
      <c r="U4" s="270"/>
    </row>
    <row r="5" spans="1:21" ht="15.6" customHeight="1" x14ac:dyDescent="0.35">
      <c r="B5" s="6" t="s">
        <v>2</v>
      </c>
      <c r="C5" s="7" t="s">
        <v>35</v>
      </c>
      <c r="D5" s="304">
        <v>0.1</v>
      </c>
      <c r="E5" s="250">
        <v>44</v>
      </c>
      <c r="F5" s="16">
        <v>87.9</v>
      </c>
      <c r="G5" s="16">
        <v>1071</v>
      </c>
      <c r="H5" s="32">
        <v>0.2276</v>
      </c>
      <c r="J5" s="230">
        <v>4.3999999999999997E-2</v>
      </c>
      <c r="K5" s="231">
        <v>8.7900000000000006E-2</v>
      </c>
      <c r="L5" s="232">
        <v>1.071</v>
      </c>
      <c r="M5" s="233">
        <v>2.276E-4</v>
      </c>
      <c r="O5" s="35"/>
      <c r="P5" s="256">
        <f>+SUM(J5:J19)</f>
        <v>19.118690400000002</v>
      </c>
      <c r="Q5" s="36"/>
      <c r="S5" s="65" t="s">
        <v>65</v>
      </c>
      <c r="T5" s="71">
        <f>+D5/100</f>
        <v>1E-3</v>
      </c>
      <c r="U5" s="66" t="s">
        <v>66</v>
      </c>
    </row>
    <row r="6" spans="1:21" ht="15.6" customHeight="1" x14ac:dyDescent="0.35">
      <c r="B6" s="8" t="s">
        <v>3</v>
      </c>
      <c r="C6" s="9" t="s">
        <v>36</v>
      </c>
      <c r="D6" s="305">
        <v>0</v>
      </c>
      <c r="E6" s="251">
        <v>34.1</v>
      </c>
      <c r="F6" s="17">
        <v>212.5</v>
      </c>
      <c r="G6" s="17">
        <v>1300</v>
      </c>
      <c r="H6" s="33">
        <v>8.2699999999999996E-2</v>
      </c>
      <c r="J6" s="234">
        <v>0</v>
      </c>
      <c r="K6" s="235">
        <v>0</v>
      </c>
      <c r="L6" s="236">
        <v>0</v>
      </c>
      <c r="M6" s="237">
        <v>0</v>
      </c>
      <c r="O6" s="37"/>
      <c r="P6" s="257"/>
      <c r="Q6" s="38"/>
      <c r="S6" s="67" t="s">
        <v>67</v>
      </c>
      <c r="T6" s="72">
        <f>+D6/100</f>
        <v>0</v>
      </c>
      <c r="U6" s="68" t="s">
        <v>66</v>
      </c>
    </row>
    <row r="7" spans="1:21" ht="15.6" customHeight="1" x14ac:dyDescent="0.35">
      <c r="B7" s="10" t="s">
        <v>4</v>
      </c>
      <c r="C7" s="11" t="s">
        <v>37</v>
      </c>
      <c r="D7" s="306">
        <v>2.1</v>
      </c>
      <c r="E7" s="252">
        <v>28.0124</v>
      </c>
      <c r="F7" s="18">
        <v>-232.5</v>
      </c>
      <c r="G7" s="18">
        <v>493.1</v>
      </c>
      <c r="H7" s="34">
        <v>4.0300000000000002E-2</v>
      </c>
      <c r="J7" s="238">
        <v>0.58826040000000002</v>
      </c>
      <c r="K7" s="239">
        <v>-4.8825000000000003</v>
      </c>
      <c r="L7" s="240">
        <v>10.355100000000002</v>
      </c>
      <c r="M7" s="241">
        <v>8.4630000000000013E-4</v>
      </c>
      <c r="O7" s="39"/>
      <c r="P7" s="258"/>
      <c r="Q7" s="40"/>
      <c r="S7" s="287"/>
      <c r="T7" s="289">
        <f>+T6+T5</f>
        <v>1E-3</v>
      </c>
      <c r="U7" s="283"/>
    </row>
    <row r="8" spans="1:21" ht="15.6" customHeight="1" x14ac:dyDescent="0.35">
      <c r="B8" s="5" t="s">
        <v>5</v>
      </c>
      <c r="C8" s="1" t="s">
        <v>6</v>
      </c>
      <c r="D8" s="307">
        <v>86.1</v>
      </c>
      <c r="E8" s="253">
        <v>16</v>
      </c>
      <c r="F8" s="19">
        <v>-116.7</v>
      </c>
      <c r="G8" s="19">
        <v>666.4</v>
      </c>
      <c r="H8" s="30">
        <v>1.0800000000000001E-2</v>
      </c>
      <c r="J8" s="242">
        <v>13.776</v>
      </c>
      <c r="K8" s="243">
        <v>-100.4787</v>
      </c>
      <c r="L8" s="244">
        <v>573.7704</v>
      </c>
      <c r="M8" s="245">
        <v>9.2988000000000012E-3</v>
      </c>
      <c r="O8" s="35"/>
      <c r="P8" s="280">
        <f>+P5/28.967</f>
        <v>0.66001623916870933</v>
      </c>
      <c r="Q8" s="36"/>
      <c r="S8" s="288"/>
      <c r="T8" s="290"/>
      <c r="U8" s="284"/>
    </row>
    <row r="9" spans="1:21" ht="15.6" customHeight="1" x14ac:dyDescent="0.35">
      <c r="B9" s="5" t="s">
        <v>7</v>
      </c>
      <c r="C9" s="1" t="s">
        <v>8</v>
      </c>
      <c r="D9" s="307">
        <v>5.9</v>
      </c>
      <c r="E9" s="253">
        <v>30.07</v>
      </c>
      <c r="F9" s="19">
        <v>89.9</v>
      </c>
      <c r="G9" s="19">
        <v>706.5</v>
      </c>
      <c r="H9" s="30">
        <v>9.9000000000000005E-2</v>
      </c>
      <c r="J9" s="242">
        <v>1.7741300000000002</v>
      </c>
      <c r="K9" s="243">
        <v>5.3041000000000009</v>
      </c>
      <c r="L9" s="244">
        <v>41.683500000000002</v>
      </c>
      <c r="M9" s="245">
        <v>5.8410000000000007E-3</v>
      </c>
      <c r="O9" s="37"/>
      <c r="P9" s="281"/>
      <c r="Q9" s="38"/>
      <c r="S9" s="287"/>
      <c r="T9" s="289">
        <f>+T6</f>
        <v>0</v>
      </c>
      <c r="U9" s="283"/>
    </row>
    <row r="10" spans="1:21" ht="15.6" customHeight="1" x14ac:dyDescent="0.35">
      <c r="B10" s="5" t="s">
        <v>9</v>
      </c>
      <c r="C10" s="1" t="s">
        <v>10</v>
      </c>
      <c r="D10" s="307">
        <v>3.6</v>
      </c>
      <c r="E10" s="253">
        <v>44.1</v>
      </c>
      <c r="F10" s="19">
        <v>206.1</v>
      </c>
      <c r="G10" s="19">
        <v>616</v>
      </c>
      <c r="H10" s="30">
        <v>0.1517</v>
      </c>
      <c r="J10" s="242">
        <v>1.5876000000000003</v>
      </c>
      <c r="K10" s="243">
        <v>7.4196000000000009</v>
      </c>
      <c r="L10" s="244">
        <v>22.176000000000002</v>
      </c>
      <c r="M10" s="245">
        <v>5.4612000000000011E-3</v>
      </c>
      <c r="O10" s="39"/>
      <c r="P10" s="282"/>
      <c r="Q10" s="40"/>
      <c r="S10" s="288"/>
      <c r="T10" s="290"/>
      <c r="U10" s="284"/>
    </row>
    <row r="11" spans="1:21" ht="15.6" customHeight="1" x14ac:dyDescent="0.35">
      <c r="B11" s="5" t="s">
        <v>11</v>
      </c>
      <c r="C11" s="1" t="s">
        <v>12</v>
      </c>
      <c r="D11" s="307">
        <v>1.7</v>
      </c>
      <c r="E11" s="253">
        <v>58.1</v>
      </c>
      <c r="F11" s="19">
        <v>305.60000000000002</v>
      </c>
      <c r="G11" s="19">
        <v>550.6</v>
      </c>
      <c r="H11" s="30">
        <v>0.19309999999999999</v>
      </c>
      <c r="J11" s="242">
        <v>0.98770000000000013</v>
      </c>
      <c r="K11" s="243">
        <v>5.1952000000000007</v>
      </c>
      <c r="L11" s="244">
        <v>9.3602000000000007</v>
      </c>
      <c r="M11" s="245">
        <v>3.2826999999999999E-3</v>
      </c>
      <c r="O11" s="35"/>
      <c r="P11" s="256">
        <f>+SUM(K5:K19)</f>
        <v>-85.425399999999996</v>
      </c>
      <c r="Q11" s="36"/>
      <c r="S11" s="287"/>
      <c r="T11" s="291">
        <f>120*(T7^0.9-T7^1.6)+15*(T9^0.5-T9^4)</f>
        <v>0.23752960596531225</v>
      </c>
      <c r="U11" s="285" t="s">
        <v>68</v>
      </c>
    </row>
    <row r="12" spans="1:21" ht="15.6" customHeight="1" x14ac:dyDescent="0.35">
      <c r="B12" s="5" t="s">
        <v>13</v>
      </c>
      <c r="C12" s="1" t="s">
        <v>12</v>
      </c>
      <c r="D12" s="307">
        <v>0</v>
      </c>
      <c r="E12" s="253">
        <v>58.1</v>
      </c>
      <c r="F12" s="19">
        <v>274.5</v>
      </c>
      <c r="G12" s="19">
        <v>527.9</v>
      </c>
      <c r="H12" s="30">
        <v>0.17699999999999999</v>
      </c>
      <c r="J12" s="242">
        <v>0</v>
      </c>
      <c r="K12" s="243">
        <v>0</v>
      </c>
      <c r="L12" s="244">
        <v>0</v>
      </c>
      <c r="M12" s="245">
        <v>0</v>
      </c>
      <c r="O12" s="37"/>
      <c r="P12" s="257"/>
      <c r="Q12" s="41" t="s">
        <v>30</v>
      </c>
      <c r="S12" s="288"/>
      <c r="T12" s="292"/>
      <c r="U12" s="286"/>
    </row>
    <row r="13" spans="1:21" ht="15.6" customHeight="1" x14ac:dyDescent="0.35">
      <c r="B13" s="5" t="s">
        <v>14</v>
      </c>
      <c r="C13" s="1" t="s">
        <v>15</v>
      </c>
      <c r="D13" s="307">
        <v>0.5</v>
      </c>
      <c r="E13" s="253">
        <v>72.2</v>
      </c>
      <c r="F13" s="19">
        <v>385.8</v>
      </c>
      <c r="G13" s="19">
        <v>488.6</v>
      </c>
      <c r="H13" s="30">
        <v>0.24859999999999999</v>
      </c>
      <c r="J13" s="242">
        <v>0.36100000000000004</v>
      </c>
      <c r="K13" s="243">
        <v>1.929</v>
      </c>
      <c r="L13" s="244">
        <v>2.4430000000000001</v>
      </c>
      <c r="M13" s="245">
        <v>1.243E-3</v>
      </c>
      <c r="O13" s="39"/>
      <c r="P13" s="258"/>
      <c r="Q13" s="40"/>
      <c r="S13" s="69" t="s">
        <v>64</v>
      </c>
      <c r="T13" s="73">
        <f>+P11+460</f>
        <v>374.57460000000003</v>
      </c>
      <c r="U13" s="70" t="s">
        <v>68</v>
      </c>
    </row>
    <row r="14" spans="1:21" ht="15.6" customHeight="1" x14ac:dyDescent="0.35">
      <c r="B14" s="5" t="s">
        <v>16</v>
      </c>
      <c r="C14" s="1" t="s">
        <v>15</v>
      </c>
      <c r="D14" s="307">
        <v>0</v>
      </c>
      <c r="E14" s="253">
        <v>72.2</v>
      </c>
      <c r="F14" s="19">
        <v>369.1</v>
      </c>
      <c r="G14" s="19">
        <v>490.4</v>
      </c>
      <c r="H14" s="30">
        <v>0.22750000000000001</v>
      </c>
      <c r="J14" s="242">
        <v>0</v>
      </c>
      <c r="K14" s="243">
        <v>0</v>
      </c>
      <c r="L14" s="244">
        <v>0</v>
      </c>
      <c r="M14" s="245">
        <v>0</v>
      </c>
      <c r="O14" s="35"/>
      <c r="P14" s="256">
        <f>+SUM(L5:L19)</f>
        <v>660.85919999999999</v>
      </c>
      <c r="Q14" s="36"/>
      <c r="S14" s="35"/>
      <c r="T14" s="256">
        <f>+T13-T11</f>
        <v>374.3370703940347</v>
      </c>
      <c r="U14" s="36"/>
    </row>
    <row r="15" spans="1:21" ht="15.6" customHeight="1" x14ac:dyDescent="0.35">
      <c r="B15" s="5" t="s">
        <v>17</v>
      </c>
      <c r="C15" s="1" t="s">
        <v>18</v>
      </c>
      <c r="D15" s="307">
        <v>0</v>
      </c>
      <c r="E15" s="253">
        <v>86.2</v>
      </c>
      <c r="F15" s="19">
        <v>453.6</v>
      </c>
      <c r="G15" s="19">
        <v>436.9</v>
      </c>
      <c r="H15" s="30">
        <v>0.30470000000000003</v>
      </c>
      <c r="J15" s="242">
        <v>0</v>
      </c>
      <c r="K15" s="243">
        <v>0</v>
      </c>
      <c r="L15" s="244">
        <v>0</v>
      </c>
      <c r="M15" s="245">
        <v>0</v>
      </c>
      <c r="O15" s="37"/>
      <c r="P15" s="257"/>
      <c r="Q15" s="38" t="s">
        <v>31</v>
      </c>
      <c r="S15" s="37"/>
      <c r="T15" s="257"/>
      <c r="U15" s="64" t="s">
        <v>68</v>
      </c>
    </row>
    <row r="16" spans="1:21" ht="15.6" customHeight="1" x14ac:dyDescent="0.35">
      <c r="B16" s="5" t="s">
        <v>19</v>
      </c>
      <c r="C16" s="1" t="s">
        <v>20</v>
      </c>
      <c r="D16" s="307">
        <v>0</v>
      </c>
      <c r="E16" s="253">
        <v>100.2</v>
      </c>
      <c r="F16" s="19">
        <v>512.70000000000005</v>
      </c>
      <c r="G16" s="19">
        <v>396.8</v>
      </c>
      <c r="H16" s="30">
        <v>0.34939999999999999</v>
      </c>
      <c r="J16" s="242">
        <v>0</v>
      </c>
      <c r="K16" s="243">
        <v>0</v>
      </c>
      <c r="L16" s="244">
        <v>0</v>
      </c>
      <c r="M16" s="245">
        <v>0</v>
      </c>
      <c r="O16" s="39"/>
      <c r="P16" s="258"/>
      <c r="Q16" s="40"/>
      <c r="S16" s="39"/>
      <c r="T16" s="258"/>
      <c r="U16" s="40"/>
    </row>
    <row r="17" spans="2:21" ht="15.6" customHeight="1" x14ac:dyDescent="0.35">
      <c r="B17" s="5" t="s">
        <v>21</v>
      </c>
      <c r="C17" s="1" t="s">
        <v>22</v>
      </c>
      <c r="D17" s="307">
        <v>0</v>
      </c>
      <c r="E17" s="253">
        <v>114.2</v>
      </c>
      <c r="F17" s="19">
        <v>564.20000000000005</v>
      </c>
      <c r="G17" s="19">
        <v>360.7</v>
      </c>
      <c r="H17" s="30">
        <v>0.3962</v>
      </c>
      <c r="J17" s="242">
        <v>0</v>
      </c>
      <c r="K17" s="243">
        <v>0</v>
      </c>
      <c r="L17" s="244">
        <v>0</v>
      </c>
      <c r="M17" s="245">
        <v>0</v>
      </c>
      <c r="O17" s="35"/>
      <c r="P17" s="259">
        <f>+SUM(M5:M19)</f>
        <v>2.6200600000000004E-2</v>
      </c>
      <c r="Q17" s="36"/>
      <c r="S17" s="35"/>
      <c r="T17" s="256">
        <f>(P14*T14)/(T13+T9*(1-T9)*T11)</f>
        <v>660.4401282706981</v>
      </c>
      <c r="U17" s="36"/>
    </row>
    <row r="18" spans="2:21" ht="15.6" customHeight="1" x14ac:dyDescent="0.35">
      <c r="B18" s="5" t="s">
        <v>23</v>
      </c>
      <c r="C18" s="1" t="s">
        <v>24</v>
      </c>
      <c r="D18" s="307">
        <v>0</v>
      </c>
      <c r="E18" s="253">
        <v>128.30000000000001</v>
      </c>
      <c r="F18" s="19">
        <v>610.70000000000005</v>
      </c>
      <c r="G18" s="19">
        <v>331.8</v>
      </c>
      <c r="H18" s="30">
        <v>0.43680000000000002</v>
      </c>
      <c r="J18" s="242">
        <v>0</v>
      </c>
      <c r="K18" s="243">
        <v>0</v>
      </c>
      <c r="L18" s="244">
        <v>0</v>
      </c>
      <c r="M18" s="245">
        <v>0</v>
      </c>
      <c r="O18" s="37"/>
      <c r="P18" s="260"/>
      <c r="Q18" s="38"/>
      <c r="S18" s="37"/>
      <c r="T18" s="257"/>
      <c r="U18" s="38" t="s">
        <v>31</v>
      </c>
    </row>
    <row r="19" spans="2:21" ht="15.6" customHeight="1" x14ac:dyDescent="0.35">
      <c r="B19" s="3" t="s">
        <v>25</v>
      </c>
      <c r="C19" s="4" t="s">
        <v>26</v>
      </c>
      <c r="D19" s="308">
        <v>0</v>
      </c>
      <c r="E19" s="254">
        <v>142.30000000000001</v>
      </c>
      <c r="F19" s="20">
        <v>652</v>
      </c>
      <c r="G19" s="20">
        <v>305.2</v>
      </c>
      <c r="H19" s="31">
        <v>0.48420000000000002</v>
      </c>
      <c r="J19" s="246">
        <v>0</v>
      </c>
      <c r="K19" s="247">
        <v>0</v>
      </c>
      <c r="L19" s="248">
        <v>0</v>
      </c>
      <c r="M19" s="249">
        <v>0</v>
      </c>
      <c r="O19" s="39"/>
      <c r="P19" s="261"/>
      <c r="Q19" s="40"/>
      <c r="S19" s="39"/>
      <c r="T19" s="258"/>
      <c r="U19" s="40"/>
    </row>
    <row r="21" spans="2:21" ht="41.4" customHeight="1" x14ac:dyDescent="0.25">
      <c r="C21" s="43"/>
      <c r="D21" s="309">
        <f>+SUM(D5:D19)</f>
        <v>100</v>
      </c>
      <c r="J21"/>
      <c r="K21"/>
      <c r="L21"/>
      <c r="M21"/>
    </row>
    <row r="22" spans="2:21" x14ac:dyDescent="0.25">
      <c r="D22" s="2"/>
      <c r="E22" s="2"/>
      <c r="J22" s="23"/>
      <c r="K22" s="23"/>
      <c r="L22" s="23"/>
      <c r="M22" s="23"/>
    </row>
  </sheetData>
  <mergeCells count="22">
    <mergeCell ref="T17:T19"/>
    <mergeCell ref="S7:S8"/>
    <mergeCell ref="T7:T8"/>
    <mergeCell ref="S9:S10"/>
    <mergeCell ref="T9:T10"/>
    <mergeCell ref="T11:T12"/>
    <mergeCell ref="S11:S12"/>
    <mergeCell ref="T14:T16"/>
    <mergeCell ref="S2:U2"/>
    <mergeCell ref="S3:U4"/>
    <mergeCell ref="U7:U8"/>
    <mergeCell ref="U9:U10"/>
    <mergeCell ref="U11:U12"/>
    <mergeCell ref="P14:P16"/>
    <mergeCell ref="P17:P19"/>
    <mergeCell ref="O2:Q4"/>
    <mergeCell ref="H2:H4"/>
    <mergeCell ref="B2:B4"/>
    <mergeCell ref="C2:C4"/>
    <mergeCell ref="P5:P7"/>
    <mergeCell ref="P8:P10"/>
    <mergeCell ref="P11:P13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71"/>
  <sheetViews>
    <sheetView showGridLines="0" workbookViewId="0">
      <selection activeCell="C10" sqref="C10:D19"/>
    </sheetView>
  </sheetViews>
  <sheetFormatPr defaultRowHeight="12" x14ac:dyDescent="0.25"/>
  <cols>
    <col min="1" max="1" width="1.75" style="44" customWidth="1"/>
    <col min="2" max="2" width="14.25" style="46" customWidth="1"/>
    <col min="3" max="4" width="12.25" style="44" customWidth="1"/>
    <col min="5" max="6" width="10.75" style="46" customWidth="1"/>
    <col min="7" max="7" width="12.875" style="46" customWidth="1"/>
    <col min="8" max="20" width="10.75" style="46" customWidth="1"/>
    <col min="21" max="21" width="2.5" style="46" customWidth="1"/>
    <col min="22" max="16384" width="9" style="44"/>
  </cols>
  <sheetData>
    <row r="1" spans="1:20" x14ac:dyDescent="0.25">
      <c r="A1"/>
    </row>
    <row r="2" spans="1:20" x14ac:dyDescent="0.25">
      <c r="B2" s="56" t="s">
        <v>40</v>
      </c>
      <c r="C2" s="57">
        <v>60</v>
      </c>
      <c r="D2" s="58" t="s">
        <v>30</v>
      </c>
      <c r="G2" s="62"/>
      <c r="H2" s="62"/>
      <c r="I2" s="60"/>
    </row>
    <row r="3" spans="1:20" x14ac:dyDescent="0.25">
      <c r="B3" s="47" t="s">
        <v>41</v>
      </c>
      <c r="C3" s="48">
        <v>100</v>
      </c>
      <c r="D3" s="49" t="s">
        <v>31</v>
      </c>
      <c r="G3" s="62"/>
      <c r="I3" s="61"/>
    </row>
    <row r="4" spans="1:20" x14ac:dyDescent="0.25">
      <c r="B4" s="50" t="s">
        <v>42</v>
      </c>
      <c r="C4" s="51">
        <v>6000</v>
      </c>
      <c r="D4" s="52" t="s">
        <v>31</v>
      </c>
    </row>
    <row r="5" spans="1:20" x14ac:dyDescent="0.25">
      <c r="B5" s="53" t="s">
        <v>44</v>
      </c>
      <c r="C5" s="54">
        <v>100</v>
      </c>
      <c r="D5" s="55" t="s">
        <v>31</v>
      </c>
    </row>
    <row r="7" spans="1:20" x14ac:dyDescent="0.25">
      <c r="B7" s="96"/>
      <c r="C7" s="97"/>
      <c r="D7" s="98"/>
      <c r="E7" s="293" t="s">
        <v>45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5"/>
      <c r="Q7" s="110"/>
      <c r="R7" s="111"/>
      <c r="S7" s="112" t="s">
        <v>46</v>
      </c>
      <c r="T7" s="112" t="s">
        <v>46</v>
      </c>
    </row>
    <row r="8" spans="1:20" x14ac:dyDescent="0.25">
      <c r="B8" s="99" t="s">
        <v>43</v>
      </c>
      <c r="C8" s="100"/>
      <c r="D8" s="101"/>
      <c r="E8" s="76"/>
      <c r="F8" s="77"/>
      <c r="G8" s="77"/>
      <c r="H8" s="77"/>
      <c r="I8" s="77"/>
      <c r="J8" s="78"/>
      <c r="K8" s="119" t="s">
        <v>47</v>
      </c>
      <c r="L8" s="77"/>
      <c r="M8" s="78"/>
      <c r="N8" s="76" t="s">
        <v>48</v>
      </c>
      <c r="O8" s="77"/>
      <c r="P8" s="77"/>
      <c r="Q8" s="113" t="s">
        <v>49</v>
      </c>
      <c r="R8" s="114" t="s">
        <v>49</v>
      </c>
      <c r="S8" s="115" t="s">
        <v>50</v>
      </c>
      <c r="T8" s="115" t="s">
        <v>51</v>
      </c>
    </row>
    <row r="9" spans="1:20" x14ac:dyDescent="0.25">
      <c r="B9" s="102" t="s">
        <v>31</v>
      </c>
      <c r="C9" s="103"/>
      <c r="D9" s="104"/>
      <c r="E9" s="106" t="s">
        <v>52</v>
      </c>
      <c r="F9" s="107" t="s">
        <v>53</v>
      </c>
      <c r="G9" s="108" t="s">
        <v>53</v>
      </c>
      <c r="H9" s="108" t="s">
        <v>54</v>
      </c>
      <c r="I9" s="108" t="s">
        <v>55</v>
      </c>
      <c r="J9" s="109" t="s">
        <v>56</v>
      </c>
      <c r="K9" s="106" t="s">
        <v>57</v>
      </c>
      <c r="L9" s="108" t="s">
        <v>38</v>
      </c>
      <c r="M9" s="109" t="s">
        <v>58</v>
      </c>
      <c r="N9" s="106" t="s">
        <v>59</v>
      </c>
      <c r="O9" s="108"/>
      <c r="P9" s="108"/>
      <c r="Q9" s="116" t="s">
        <v>60</v>
      </c>
      <c r="R9" s="117" t="s">
        <v>61</v>
      </c>
      <c r="S9" s="118" t="s">
        <v>62</v>
      </c>
      <c r="T9" s="118" t="s">
        <v>63</v>
      </c>
    </row>
    <row r="10" spans="1:20" x14ac:dyDescent="0.25">
      <c r="B10" s="46">
        <v>100</v>
      </c>
      <c r="C10" s="59">
        <v>1.3891223742618855</v>
      </c>
      <c r="D10" s="59">
        <v>0.15141417930167392</v>
      </c>
      <c r="E10" s="61">
        <v>0.41486284498481801</v>
      </c>
      <c r="F10" s="61">
        <v>0.85729303038297966</v>
      </c>
      <c r="G10" s="61">
        <v>11172.74360265728</v>
      </c>
      <c r="H10" s="61">
        <v>0.47320652437832872</v>
      </c>
      <c r="I10" s="226">
        <v>3.0757730974015206E-2</v>
      </c>
      <c r="J10" s="226">
        <v>8.4797550678082315E-3</v>
      </c>
      <c r="K10" s="61">
        <v>-0.99152024493219182</v>
      </c>
      <c r="L10" s="61">
        <v>1.3582502100368685E-2</v>
      </c>
      <c r="M10" s="61">
        <v>-1.8830203173715774E-4</v>
      </c>
      <c r="N10" s="61">
        <v>0.97782999999999998</v>
      </c>
      <c r="O10" s="61"/>
      <c r="P10" s="61"/>
      <c r="Q10" s="61">
        <v>2.5626968640000004E-2</v>
      </c>
      <c r="R10" s="61">
        <v>0.14389746279999999</v>
      </c>
      <c r="S10" s="61">
        <v>0.35028569792929765</v>
      </c>
      <c r="T10" s="61">
        <v>1.0573911632790811E-2</v>
      </c>
    </row>
    <row r="11" spans="1:20" x14ac:dyDescent="0.25">
      <c r="B11" s="46">
        <v>200</v>
      </c>
      <c r="C11" s="59">
        <v>1.3891223742618855</v>
      </c>
      <c r="D11" s="59">
        <v>0.30282835860334784</v>
      </c>
      <c r="E11" s="61">
        <v>0.41486284498481801</v>
      </c>
      <c r="F11" s="61">
        <v>0.85729303038297966</v>
      </c>
      <c r="G11" s="61">
        <v>11172.74360265728</v>
      </c>
      <c r="H11" s="61">
        <v>0.47320652437832872</v>
      </c>
      <c r="I11" s="61">
        <v>6.1515461948030412E-2</v>
      </c>
      <c r="J11" s="61">
        <v>1.6959510135616463E-2</v>
      </c>
      <c r="K11" s="61">
        <v>-0.98304048986438353</v>
      </c>
      <c r="L11" s="61">
        <v>2.6733566724677253E-2</v>
      </c>
      <c r="M11" s="61">
        <v>-7.5076913753258881E-4</v>
      </c>
      <c r="N11" s="61">
        <v>0.95589999999999997</v>
      </c>
      <c r="O11" s="61"/>
      <c r="P11" s="61"/>
      <c r="Q11" s="61">
        <v>1.2526113600000001E-2</v>
      </c>
      <c r="R11" s="61">
        <v>7.0335122E-2</v>
      </c>
      <c r="S11" s="61">
        <v>0.71664371588284359</v>
      </c>
      <c r="T11" s="61">
        <v>1.0724189586371672E-2</v>
      </c>
    </row>
    <row r="12" spans="1:20" x14ac:dyDescent="0.25">
      <c r="B12" s="46">
        <v>300</v>
      </c>
      <c r="C12" s="59">
        <v>1.3891223742618855</v>
      </c>
      <c r="D12" s="59">
        <v>0.45424253790502173</v>
      </c>
      <c r="E12" s="61">
        <v>0.41486284498481801</v>
      </c>
      <c r="F12" s="61">
        <v>0.85729303038297966</v>
      </c>
      <c r="G12" s="61">
        <v>11172.74360265728</v>
      </c>
      <c r="H12" s="61">
        <v>0.47320652437832872</v>
      </c>
      <c r="I12" s="61">
        <v>9.2273192922045638E-2</v>
      </c>
      <c r="J12" s="61">
        <v>2.5439265203424696E-2</v>
      </c>
      <c r="K12" s="61">
        <v>-0.97456073479657535</v>
      </c>
      <c r="L12" s="61">
        <v>3.9453193872925722E-2</v>
      </c>
      <c r="M12" s="61">
        <v>-1.6837428332622307E-3</v>
      </c>
      <c r="N12" s="61">
        <v>0.93425999999999998</v>
      </c>
      <c r="O12" s="61"/>
      <c r="P12" s="61"/>
      <c r="Q12" s="61">
        <v>8.1616953600000004E-3</v>
      </c>
      <c r="R12" s="61">
        <v>4.5828567199999996E-2</v>
      </c>
      <c r="S12" s="61">
        <v>1.0998646972134258</v>
      </c>
      <c r="T12" s="61">
        <v>1.0903590327381384E-2</v>
      </c>
    </row>
    <row r="13" spans="1:20" x14ac:dyDescent="0.25">
      <c r="B13" s="46">
        <v>400</v>
      </c>
      <c r="C13" s="59">
        <v>1.3891223742618855</v>
      </c>
      <c r="D13" s="59">
        <v>0.60565671720669567</v>
      </c>
      <c r="E13" s="61">
        <v>0.41486284498481801</v>
      </c>
      <c r="F13" s="61">
        <v>0.85729303038297966</v>
      </c>
      <c r="G13" s="61">
        <v>11172.74360265728</v>
      </c>
      <c r="H13" s="61">
        <v>0.47320652437832872</v>
      </c>
      <c r="I13" s="61">
        <v>0.12303092389606082</v>
      </c>
      <c r="J13" s="61">
        <v>3.3919020271232926E-2</v>
      </c>
      <c r="K13" s="61">
        <v>-0.96608097972876705</v>
      </c>
      <c r="L13" s="61">
        <v>5.1741383545114039E-2</v>
      </c>
      <c r="M13" s="61">
        <v>-2.9835646348020184E-3</v>
      </c>
      <c r="N13" s="61">
        <v>0.91298999999999997</v>
      </c>
      <c r="O13" s="61"/>
      <c r="P13" s="61"/>
      <c r="Q13" s="61">
        <v>5.9819104799999998E-3</v>
      </c>
      <c r="R13" s="61">
        <v>3.3588902099999998E-2</v>
      </c>
      <c r="S13" s="61">
        <v>1.5006511090207126</v>
      </c>
      <c r="T13" s="61">
        <v>1.1110026958125584E-2</v>
      </c>
    </row>
    <row r="14" spans="1:20" x14ac:dyDescent="0.25">
      <c r="B14" s="46">
        <v>500</v>
      </c>
      <c r="C14" s="59">
        <v>1.3891223742618855</v>
      </c>
      <c r="D14" s="59">
        <v>0.75707089650836956</v>
      </c>
      <c r="E14" s="61">
        <v>0.41486284498481801</v>
      </c>
      <c r="F14" s="61">
        <v>0.85729303038297966</v>
      </c>
      <c r="G14" s="61">
        <v>11172.74360265728</v>
      </c>
      <c r="H14" s="61">
        <v>0.47320652437832872</v>
      </c>
      <c r="I14" s="61">
        <v>0.15378865487007604</v>
      </c>
      <c r="J14" s="61">
        <v>4.2398775339041156E-2</v>
      </c>
      <c r="K14" s="61">
        <v>-0.95760122466095887</v>
      </c>
      <c r="L14" s="61">
        <v>6.3598135741242276E-2</v>
      </c>
      <c r="M14" s="61">
        <v>-4.646576058027891E-3</v>
      </c>
      <c r="N14" s="61">
        <v>0.89215</v>
      </c>
      <c r="O14" s="61"/>
      <c r="P14" s="61"/>
      <c r="Q14" s="61">
        <v>4.6762934400000006E-3</v>
      </c>
      <c r="R14" s="61">
        <v>2.6257758799999999E-2</v>
      </c>
      <c r="S14" s="61">
        <v>1.9196315866513762</v>
      </c>
      <c r="T14" s="61">
        <v>1.1343587967741138E-2</v>
      </c>
    </row>
    <row r="15" spans="1:20" x14ac:dyDescent="0.25">
      <c r="B15" s="46">
        <v>600</v>
      </c>
      <c r="C15" s="59">
        <v>1.3891223742618855</v>
      </c>
      <c r="D15" s="59">
        <v>0.90848507581004345</v>
      </c>
      <c r="E15" s="61">
        <v>0.41486284498481801</v>
      </c>
      <c r="F15" s="61">
        <v>0.85729303038297966</v>
      </c>
      <c r="G15" s="61">
        <v>11172.74360265728</v>
      </c>
      <c r="H15" s="61">
        <v>0.47320652437832872</v>
      </c>
      <c r="I15" s="61">
        <v>0.18454638584409128</v>
      </c>
      <c r="J15" s="61">
        <v>5.0878530406849393E-2</v>
      </c>
      <c r="K15" s="61">
        <v>-0.94912146959315058</v>
      </c>
      <c r="L15" s="61">
        <v>7.5023450461310398E-2</v>
      </c>
      <c r="M15" s="61">
        <v>-6.6691186188157859E-3</v>
      </c>
      <c r="N15" s="61">
        <v>0.87183999999999995</v>
      </c>
      <c r="O15" s="61"/>
      <c r="P15" s="61"/>
      <c r="Q15" s="61">
        <v>3.8081971200000001E-3</v>
      </c>
      <c r="R15" s="61">
        <v>2.1383329066666665E-2</v>
      </c>
      <c r="S15" s="61">
        <v>2.3572205726248288</v>
      </c>
      <c r="T15" s="61">
        <v>1.1605229450960777E-2</v>
      </c>
    </row>
    <row r="16" spans="1:20" x14ac:dyDescent="0.25">
      <c r="B16" s="46">
        <v>700</v>
      </c>
      <c r="C16" s="59">
        <v>1.3891223742618855</v>
      </c>
      <c r="D16" s="59">
        <v>1.0598992551117175</v>
      </c>
      <c r="E16" s="61">
        <v>0.41486284498481801</v>
      </c>
      <c r="F16" s="61">
        <v>0.85729303038297966</v>
      </c>
      <c r="G16" s="61">
        <v>11172.74360265728</v>
      </c>
      <c r="H16" s="61">
        <v>0.47320652437832872</v>
      </c>
      <c r="I16" s="61">
        <v>0.21530411681810646</v>
      </c>
      <c r="J16" s="61">
        <v>5.9358285474657616E-2</v>
      </c>
      <c r="K16" s="61">
        <v>-0.9406417145253424</v>
      </c>
      <c r="L16" s="61">
        <v>8.6017327705318378E-2</v>
      </c>
      <c r="M16" s="61">
        <v>-9.0475338330416356E-3</v>
      </c>
      <c r="N16" s="61">
        <v>0.85216000000000003</v>
      </c>
      <c r="O16" s="61"/>
      <c r="P16" s="61"/>
      <c r="Q16" s="61">
        <v>3.1904870399999999E-3</v>
      </c>
      <c r="R16" s="61">
        <v>1.7914837942857142E-2</v>
      </c>
      <c r="S16" s="61">
        <v>2.8136019621238213</v>
      </c>
      <c r="T16" s="61">
        <v>1.1896362130761721E-2</v>
      </c>
    </row>
    <row r="17" spans="2:20" x14ac:dyDescent="0.25">
      <c r="B17" s="46">
        <v>800</v>
      </c>
      <c r="C17" s="59">
        <v>1.3891223742618855</v>
      </c>
      <c r="D17" s="59">
        <v>1.2113134344133913</v>
      </c>
      <c r="E17" s="61">
        <v>0.41486284498481801</v>
      </c>
      <c r="F17" s="61">
        <v>0.85729303038297966</v>
      </c>
      <c r="G17" s="61">
        <v>11172.74360265728</v>
      </c>
      <c r="H17" s="61">
        <v>0.47320652437832872</v>
      </c>
      <c r="I17" s="61">
        <v>0.24606184779212165</v>
      </c>
      <c r="J17" s="61">
        <v>6.7838040542465852E-2</v>
      </c>
      <c r="K17" s="61">
        <v>-0.93216195945753411</v>
      </c>
      <c r="L17" s="61">
        <v>9.6579767473266215E-2</v>
      </c>
      <c r="M17" s="61">
        <v>-1.1778163216581379E-2</v>
      </c>
      <c r="N17" s="61">
        <v>0.83321999999999996</v>
      </c>
      <c r="O17" s="61"/>
      <c r="P17" s="61"/>
      <c r="Q17" s="61">
        <v>2.7296287200000002E-3</v>
      </c>
      <c r="R17" s="61">
        <v>1.5327081899999997E-2</v>
      </c>
      <c r="S17" s="61">
        <v>3.288637949220663</v>
      </c>
      <c r="T17" s="61">
        <v>1.2218609999579856E-2</v>
      </c>
    </row>
    <row r="18" spans="2:20" x14ac:dyDescent="0.25">
      <c r="B18" s="46">
        <v>900</v>
      </c>
      <c r="C18" s="59">
        <v>1.3891223742618855</v>
      </c>
      <c r="D18" s="59">
        <v>1.3627276137150652</v>
      </c>
      <c r="E18" s="61">
        <v>0.41486284498481801</v>
      </c>
      <c r="F18" s="61">
        <v>0.85729303038297966</v>
      </c>
      <c r="G18" s="61">
        <v>11172.74360265728</v>
      </c>
      <c r="H18" s="61">
        <v>0.47320652437832872</v>
      </c>
      <c r="I18" s="61">
        <v>0.27681957876613689</v>
      </c>
      <c r="J18" s="61">
        <v>7.6317795610274089E-2</v>
      </c>
      <c r="K18" s="61">
        <v>-0.92368220438972592</v>
      </c>
      <c r="L18" s="61">
        <v>0.10671076976515399</v>
      </c>
      <c r="M18" s="61">
        <v>-1.4857348285310958E-2</v>
      </c>
      <c r="N18" s="61">
        <v>0.81513000000000002</v>
      </c>
      <c r="O18" s="61"/>
      <c r="P18" s="61"/>
      <c r="Q18" s="61">
        <v>2.3736585600000002E-3</v>
      </c>
      <c r="R18" s="61">
        <v>1.33282812E-2</v>
      </c>
      <c r="S18" s="61">
        <v>3.781824710237442</v>
      </c>
      <c r="T18" s="61">
        <v>1.2573661863922619E-2</v>
      </c>
    </row>
    <row r="19" spans="2:20" x14ac:dyDescent="0.25">
      <c r="B19" s="46">
        <v>1000</v>
      </c>
      <c r="C19" s="59">
        <v>1.3891223742618855</v>
      </c>
      <c r="D19" s="59">
        <v>1.5141417930167391</v>
      </c>
      <c r="E19" s="61">
        <v>0.41486284498481801</v>
      </c>
      <c r="F19" s="61">
        <v>0.85729303038297966</v>
      </c>
      <c r="G19" s="61">
        <v>11172.74360265728</v>
      </c>
      <c r="H19" s="61">
        <v>0.47320652437832872</v>
      </c>
      <c r="I19" s="61">
        <v>0.30757730974015207</v>
      </c>
      <c r="J19" s="61">
        <v>8.4797550678082312E-2</v>
      </c>
      <c r="K19" s="61">
        <v>-0.91520244932191774</v>
      </c>
      <c r="L19" s="61">
        <v>0.11641033458098163</v>
      </c>
      <c r="M19" s="61">
        <v>-1.8281430555106299E-2</v>
      </c>
      <c r="N19" s="61">
        <v>0.79803999999999997</v>
      </c>
      <c r="O19" s="61"/>
      <c r="P19" s="61"/>
      <c r="Q19" s="61">
        <v>2.0915032320000001E-3</v>
      </c>
      <c r="R19" s="61">
        <v>1.1743956639999999E-2</v>
      </c>
      <c r="S19" s="61">
        <v>4.2920137337251907</v>
      </c>
      <c r="T19" s="61">
        <v>1.2962957119726729E-2</v>
      </c>
    </row>
    <row r="20" spans="2:20" x14ac:dyDescent="0.25">
      <c r="B20" s="46">
        <v>1100</v>
      </c>
      <c r="C20" s="59">
        <v>1.3891223742618855</v>
      </c>
      <c r="D20" s="59">
        <v>1.665555972318413</v>
      </c>
      <c r="E20" s="61">
        <v>0.41486284498481801</v>
      </c>
      <c r="F20" s="61">
        <v>0.85729303038297966</v>
      </c>
      <c r="G20" s="61">
        <v>11172.74360265728</v>
      </c>
      <c r="H20" s="61">
        <v>0.47320652437832872</v>
      </c>
      <c r="I20" s="61">
        <v>0.33833504071416726</v>
      </c>
      <c r="J20" s="61">
        <v>9.3277305745890549E-2</v>
      </c>
      <c r="K20" s="61">
        <v>-0.90672269425410945</v>
      </c>
      <c r="L20" s="61">
        <v>0.12567846192074913</v>
      </c>
      <c r="M20" s="61">
        <v>-2.2046751541843348E-2</v>
      </c>
      <c r="N20" s="61">
        <v>0.78207000000000004</v>
      </c>
      <c r="O20" s="61"/>
      <c r="P20" s="61"/>
      <c r="Q20" s="61">
        <v>1.8633173236363638E-3</v>
      </c>
      <c r="R20" s="61">
        <v>1.0462674654545454E-2</v>
      </c>
      <c r="S20" s="61">
        <v>4.8176231079932181</v>
      </c>
      <c r="T20" s="61">
        <v>1.3387708482068538E-2</v>
      </c>
    </row>
    <row r="21" spans="2:20" x14ac:dyDescent="0.25">
      <c r="B21" s="46">
        <v>1200</v>
      </c>
      <c r="C21" s="59">
        <v>1.3891223742618855</v>
      </c>
      <c r="D21" s="59">
        <v>1.8169701516200869</v>
      </c>
      <c r="E21" s="61">
        <v>0.41486284498481801</v>
      </c>
      <c r="F21" s="61">
        <v>0.85729303038297966</v>
      </c>
      <c r="G21" s="61">
        <v>11172.74360265728</v>
      </c>
      <c r="H21" s="61">
        <v>0.47320652437832872</v>
      </c>
      <c r="I21" s="61">
        <v>0.36909277168818255</v>
      </c>
      <c r="J21" s="61">
        <v>0.10175706081369879</v>
      </c>
      <c r="K21" s="61">
        <v>-0.89824293918630116</v>
      </c>
      <c r="L21" s="61">
        <v>0.13451515178445661</v>
      </c>
      <c r="M21" s="61">
        <v>-2.6149652761398048E-2</v>
      </c>
      <c r="N21" s="61">
        <v>0.76736000000000004</v>
      </c>
      <c r="O21" s="61"/>
      <c r="P21" s="61"/>
      <c r="Q21" s="61">
        <v>1.67591424E-3</v>
      </c>
      <c r="R21" s="61">
        <v>9.410391466666666E-3</v>
      </c>
      <c r="S21" s="61">
        <v>5.3563364888376528</v>
      </c>
      <c r="T21" s="61">
        <v>1.3848520832295437E-2</v>
      </c>
    </row>
    <row r="22" spans="2:20" x14ac:dyDescent="0.25">
      <c r="B22" s="46">
        <v>1300</v>
      </c>
      <c r="C22" s="59">
        <v>1.3891223742618855</v>
      </c>
      <c r="D22" s="59">
        <v>1.9683843309217608</v>
      </c>
      <c r="E22" s="61">
        <v>0.41486284498481801</v>
      </c>
      <c r="F22" s="61">
        <v>0.85729303038297966</v>
      </c>
      <c r="G22" s="61">
        <v>11172.74360265728</v>
      </c>
      <c r="H22" s="61">
        <v>0.47320652437832872</v>
      </c>
      <c r="I22" s="61">
        <v>0.39985050266219774</v>
      </c>
      <c r="J22" s="61">
        <v>0.11023681588150699</v>
      </c>
      <c r="K22" s="61">
        <v>-0.88976318411849298</v>
      </c>
      <c r="L22" s="61">
        <v>0.14292040417210394</v>
      </c>
      <c r="M22" s="61">
        <v>-3.0586475729646314E-2</v>
      </c>
      <c r="N22" s="61">
        <v>0.75402000000000002</v>
      </c>
      <c r="O22" s="61"/>
      <c r="P22" s="61"/>
      <c r="Q22" s="61">
        <v>1.5201043200000002E-3</v>
      </c>
      <c r="R22" s="61">
        <v>8.5355063999999984E-3</v>
      </c>
      <c r="S22" s="61">
        <v>5.9053582558561653</v>
      </c>
      <c r="T22" s="61">
        <v>1.4345420124304049E-2</v>
      </c>
    </row>
    <row r="23" spans="2:20" x14ac:dyDescent="0.25">
      <c r="B23" s="46">
        <v>1400</v>
      </c>
      <c r="C23" s="59">
        <v>1.3891223742618855</v>
      </c>
      <c r="D23" s="59">
        <v>2.1197985102234349</v>
      </c>
      <c r="E23" s="61">
        <v>0.41486284498481801</v>
      </c>
      <c r="F23" s="61">
        <v>0.85729303038297966</v>
      </c>
      <c r="G23" s="61">
        <v>11172.74360265728</v>
      </c>
      <c r="H23" s="61">
        <v>0.47320652437832872</v>
      </c>
      <c r="I23" s="61">
        <v>0.43060823363621292</v>
      </c>
      <c r="J23" s="61">
        <v>0.11871657094931523</v>
      </c>
      <c r="K23" s="61">
        <v>-0.8812834290506848</v>
      </c>
      <c r="L23" s="61">
        <v>0.15089421908369108</v>
      </c>
      <c r="M23" s="61">
        <v>-3.53535619624641E-2</v>
      </c>
      <c r="N23" s="61">
        <v>0.74214999999999998</v>
      </c>
      <c r="O23" s="61"/>
      <c r="P23" s="61"/>
      <c r="Q23" s="61">
        <v>1.3893048000000001E-3</v>
      </c>
      <c r="R23" s="61">
        <v>7.8010567142857137E-3</v>
      </c>
      <c r="S23" s="61">
        <v>6.4613327441714894</v>
      </c>
      <c r="T23" s="61">
        <v>1.4877602097269241E-2</v>
      </c>
    </row>
    <row r="24" spans="2:20" x14ac:dyDescent="0.25">
      <c r="B24" s="46">
        <v>1500</v>
      </c>
      <c r="C24" s="59">
        <v>1.3891223742618855</v>
      </c>
      <c r="D24" s="59">
        <v>2.2712126895251088</v>
      </c>
      <c r="E24" s="61">
        <v>0.41486284498481801</v>
      </c>
      <c r="F24" s="61">
        <v>0.85729303038297966</v>
      </c>
      <c r="G24" s="61">
        <v>11172.74360265728</v>
      </c>
      <c r="H24" s="61">
        <v>0.47320652437832872</v>
      </c>
      <c r="I24" s="61">
        <v>0.46136596461022811</v>
      </c>
      <c r="J24" s="61">
        <v>0.12719632601712347</v>
      </c>
      <c r="K24" s="61">
        <v>-0.8728036739828765</v>
      </c>
      <c r="L24" s="61">
        <v>0.1584365965192181</v>
      </c>
      <c r="M24" s="61">
        <v>-4.0447252975727328E-2</v>
      </c>
      <c r="N24" s="61">
        <v>0.73182999999999998</v>
      </c>
      <c r="O24" s="61"/>
      <c r="P24" s="61"/>
      <c r="Q24" s="61">
        <v>1.2786533760000001E-3</v>
      </c>
      <c r="R24" s="61">
        <v>7.1797401866666669E-3</v>
      </c>
      <c r="S24" s="61">
        <v>7.0204801116284887</v>
      </c>
      <c r="T24" s="61">
        <v>1.5443355159567591E-2</v>
      </c>
    </row>
    <row r="25" spans="2:20" x14ac:dyDescent="0.25">
      <c r="B25" s="46">
        <v>1600</v>
      </c>
      <c r="C25" s="59">
        <v>1.3891223742618855</v>
      </c>
      <c r="D25" s="59">
        <v>2.4226268688267827</v>
      </c>
      <c r="E25" s="61">
        <v>0.41486284498481801</v>
      </c>
      <c r="F25" s="61">
        <v>0.85729303038297966</v>
      </c>
      <c r="G25" s="61">
        <v>11172.74360265728</v>
      </c>
      <c r="H25" s="61">
        <v>0.47320652437832872</v>
      </c>
      <c r="I25" s="61">
        <v>0.49212369558424329</v>
      </c>
      <c r="J25" s="61">
        <v>0.1356760810849317</v>
      </c>
      <c r="K25" s="61">
        <v>-0.86432391891506832</v>
      </c>
      <c r="L25" s="61">
        <v>0.165547536478685</v>
      </c>
      <c r="M25" s="61">
        <v>-4.5863890285311959E-2</v>
      </c>
      <c r="N25" s="61">
        <v>0.72309999999999997</v>
      </c>
      <c r="O25" s="61"/>
      <c r="P25" s="61"/>
      <c r="Q25" s="61">
        <v>1.1844378E-3</v>
      </c>
      <c r="R25" s="61">
        <v>6.6507122499999995E-3</v>
      </c>
      <c r="S25" s="61">
        <v>7.5789210677628009</v>
      </c>
      <c r="T25" s="61">
        <v>1.604021218751633E-2</v>
      </c>
    </row>
    <row r="26" spans="2:20" x14ac:dyDescent="0.25">
      <c r="B26" s="46">
        <v>1700</v>
      </c>
      <c r="C26" s="59">
        <v>1.3891223742618855</v>
      </c>
      <c r="D26" s="59">
        <v>2.5740410481284566</v>
      </c>
      <c r="E26" s="61">
        <v>0.41486284498481801</v>
      </c>
      <c r="F26" s="61">
        <v>0.85729303038297966</v>
      </c>
      <c r="G26" s="61">
        <v>11172.74360265728</v>
      </c>
      <c r="H26" s="61">
        <v>0.47320652437832872</v>
      </c>
      <c r="I26" s="61">
        <v>0.52288142655825853</v>
      </c>
      <c r="J26" s="61">
        <v>0.14415583615273994</v>
      </c>
      <c r="K26" s="61">
        <v>-0.85584416384726003</v>
      </c>
      <c r="L26" s="61">
        <v>0.17222703896209185</v>
      </c>
      <c r="M26" s="61">
        <v>-5.1599815407093914E-2</v>
      </c>
      <c r="N26" s="61">
        <v>0.71594999999999998</v>
      </c>
      <c r="O26" s="61"/>
      <c r="P26" s="61"/>
      <c r="Q26" s="61">
        <v>1.1037422117647058E-3</v>
      </c>
      <c r="R26" s="61">
        <v>6.1976001176470589E-3</v>
      </c>
      <c r="S26" s="61">
        <v>8.1330228201766701</v>
      </c>
      <c r="T26" s="61">
        <v>1.6665227312655784E-2</v>
      </c>
    </row>
    <row r="27" spans="2:20" x14ac:dyDescent="0.25">
      <c r="B27" s="46">
        <v>1800</v>
      </c>
      <c r="C27" s="59">
        <v>1.3891223742618855</v>
      </c>
      <c r="D27" s="59">
        <v>2.7254552274301305</v>
      </c>
      <c r="E27" s="61">
        <v>0.41486284498481801</v>
      </c>
      <c r="F27" s="61">
        <v>0.85729303038297966</v>
      </c>
      <c r="G27" s="61">
        <v>11172.74360265728</v>
      </c>
      <c r="H27" s="61">
        <v>0.47320652437832872</v>
      </c>
      <c r="I27" s="61">
        <v>0.55363915753227377</v>
      </c>
      <c r="J27" s="61">
        <v>0.15263559122054818</v>
      </c>
      <c r="K27" s="61">
        <v>-0.84736440877945185</v>
      </c>
      <c r="L27" s="61">
        <v>0.17847510396943858</v>
      </c>
      <c r="M27" s="61">
        <v>-5.7651369856949138E-2</v>
      </c>
      <c r="N27" s="61">
        <v>0.71036999999999995</v>
      </c>
      <c r="O27" s="61"/>
      <c r="P27" s="61"/>
      <c r="Q27" s="61">
        <v>1.0342987200000001E-3</v>
      </c>
      <c r="R27" s="61">
        <v>5.8076693999999998E-3</v>
      </c>
      <c r="S27" s="61">
        <v>8.6790792856000287</v>
      </c>
      <c r="T27" s="61">
        <v>1.7314567984208856E-2</v>
      </c>
    </row>
    <row r="28" spans="2:20" x14ac:dyDescent="0.25">
      <c r="B28" s="46">
        <v>1900</v>
      </c>
      <c r="C28" s="59">
        <v>1.3891223742618855</v>
      </c>
      <c r="D28" s="59">
        <v>2.8768694067318044</v>
      </c>
      <c r="E28" s="61">
        <v>0.41486284498481801</v>
      </c>
      <c r="F28" s="61">
        <v>0.85729303038297966</v>
      </c>
      <c r="G28" s="61">
        <v>11172.74360265728</v>
      </c>
      <c r="H28" s="61">
        <v>0.47320652437832872</v>
      </c>
      <c r="I28" s="61">
        <v>0.58439688850628901</v>
      </c>
      <c r="J28" s="61">
        <v>0.16111534628835639</v>
      </c>
      <c r="K28" s="61">
        <v>-0.83888465371164367</v>
      </c>
      <c r="L28" s="61">
        <v>0.18429173150072525</v>
      </c>
      <c r="M28" s="61">
        <v>-6.4014895150753551E-2</v>
      </c>
      <c r="N28" s="61">
        <v>0.70628000000000002</v>
      </c>
      <c r="O28" s="61"/>
      <c r="P28" s="61"/>
      <c r="Q28" s="61">
        <v>9.7422032842105276E-4</v>
      </c>
      <c r="R28" s="61">
        <v>5.4703244631578943E-3</v>
      </c>
      <c r="S28" s="61">
        <v>9.2143022825478518</v>
      </c>
      <c r="T28" s="61">
        <v>1.7984681009526955E-2</v>
      </c>
    </row>
    <row r="29" spans="2:20" x14ac:dyDescent="0.25">
      <c r="B29" s="46">
        <v>2000</v>
      </c>
      <c r="C29" s="59">
        <v>1.3891223742618855</v>
      </c>
      <c r="D29" s="59">
        <v>3.0282835860334782</v>
      </c>
      <c r="E29" s="61">
        <v>0.41486284498481801</v>
      </c>
      <c r="F29" s="61">
        <v>0.85729303038297966</v>
      </c>
      <c r="G29" s="61">
        <v>11172.74360265728</v>
      </c>
      <c r="H29" s="61">
        <v>0.47320652437832872</v>
      </c>
      <c r="I29" s="61">
        <v>0.61515461948030414</v>
      </c>
      <c r="J29" s="61">
        <v>0.16959510135616462</v>
      </c>
      <c r="K29" s="61">
        <v>-0.83040489864383538</v>
      </c>
      <c r="L29" s="61">
        <v>0.18967692155595164</v>
      </c>
      <c r="M29" s="61">
        <v>-7.068673280438309E-2</v>
      </c>
      <c r="N29" s="61">
        <v>0.70360999999999996</v>
      </c>
      <c r="O29" s="61"/>
      <c r="P29" s="61"/>
      <c r="Q29" s="61">
        <v>9.2201054400000001E-4</v>
      </c>
      <c r="R29" s="61">
        <v>5.1771623799999993E-3</v>
      </c>
      <c r="S29" s="61">
        <v>9.7360715170678382</v>
      </c>
      <c r="T29" s="61">
        <v>1.8671504965979552E-2</v>
      </c>
    </row>
    <row r="30" spans="2:20" x14ac:dyDescent="0.25">
      <c r="B30" s="46">
        <v>2100</v>
      </c>
      <c r="C30" s="59">
        <v>1.3891223742618855</v>
      </c>
      <c r="D30" s="59">
        <v>3.1796977653351521</v>
      </c>
      <c r="E30" s="61">
        <v>0.41486284498481801</v>
      </c>
      <c r="F30" s="61">
        <v>0.85729303038297966</v>
      </c>
      <c r="G30" s="61">
        <v>11172.74360265728</v>
      </c>
      <c r="H30" s="61">
        <v>0.47320652437832872</v>
      </c>
      <c r="I30" s="61">
        <v>0.64591235045431938</v>
      </c>
      <c r="J30" s="61">
        <v>0.17807485642397286</v>
      </c>
      <c r="K30" s="61">
        <v>-0.82192514357602708</v>
      </c>
      <c r="L30" s="61">
        <v>0.194630674135118</v>
      </c>
      <c r="M30" s="61">
        <v>-7.7663224333713726E-2</v>
      </c>
      <c r="N30" s="61">
        <v>0.70225000000000004</v>
      </c>
      <c r="O30" s="61"/>
      <c r="P30" s="61"/>
      <c r="Q30" s="61">
        <v>8.7640800000000007E-4</v>
      </c>
      <c r="R30" s="61">
        <v>4.9211004761904762E-3</v>
      </c>
      <c r="S30" s="61">
        <v>10.242673042549386</v>
      </c>
      <c r="T30" s="61">
        <v>1.9371520859336164E-2</v>
      </c>
    </row>
    <row r="31" spans="2:20" x14ac:dyDescent="0.25">
      <c r="B31" s="46">
        <v>2200</v>
      </c>
      <c r="C31" s="59">
        <v>1.3891223742618855</v>
      </c>
      <c r="D31" s="59">
        <v>3.331111944636826</v>
      </c>
      <c r="E31" s="61">
        <v>0.41486284498481801</v>
      </c>
      <c r="F31" s="61">
        <v>0.85729303038297966</v>
      </c>
      <c r="G31" s="61">
        <v>11172.74360265728</v>
      </c>
      <c r="H31" s="61">
        <v>0.47320652437832872</v>
      </c>
      <c r="I31" s="61">
        <v>0.67667008142833451</v>
      </c>
      <c r="J31" s="61">
        <v>0.1865546114917811</v>
      </c>
      <c r="K31" s="61">
        <v>-0.8134453885082189</v>
      </c>
      <c r="L31" s="61">
        <v>0.19915298923822417</v>
      </c>
      <c r="M31" s="61">
        <v>-8.4940711254621354E-2</v>
      </c>
      <c r="N31" s="61">
        <v>0.70209999999999995</v>
      </c>
      <c r="O31" s="61"/>
      <c r="P31" s="61"/>
      <c r="Q31" s="61">
        <v>8.3639258181818189E-4</v>
      </c>
      <c r="R31" s="61">
        <v>4.6964107272727262E-3</v>
      </c>
      <c r="S31" s="61">
        <v>10.732711875995603</v>
      </c>
      <c r="T31" s="61">
        <v>2.008114842739887E-2</v>
      </c>
    </row>
    <row r="32" spans="2:20" x14ac:dyDescent="0.25">
      <c r="B32" s="46">
        <v>2300</v>
      </c>
      <c r="C32" s="59">
        <v>1.3891223742618855</v>
      </c>
      <c r="D32" s="59">
        <v>3.4825261239384999</v>
      </c>
      <c r="E32" s="61">
        <v>0.41486284498481801</v>
      </c>
      <c r="F32" s="61">
        <v>0.85729303038297966</v>
      </c>
      <c r="G32" s="61">
        <v>11172.74360265728</v>
      </c>
      <c r="H32" s="61">
        <v>0.47320652437832872</v>
      </c>
      <c r="I32" s="61">
        <v>0.70742781240234975</v>
      </c>
      <c r="J32" s="61">
        <v>0.19503436655958933</v>
      </c>
      <c r="K32" s="61">
        <v>-0.80496563344041072</v>
      </c>
      <c r="L32" s="61">
        <v>0.20324386686527032</v>
      </c>
      <c r="M32" s="61">
        <v>-9.2515535082981937E-2</v>
      </c>
      <c r="N32" s="61">
        <v>0.70304999999999995</v>
      </c>
      <c r="O32" s="61"/>
      <c r="P32" s="61"/>
      <c r="Q32" s="61">
        <v>8.0111019130434775E-4</v>
      </c>
      <c r="R32" s="61">
        <v>4.4982973043478256E-3</v>
      </c>
      <c r="S32" s="61">
        <v>11.205400571997322</v>
      </c>
      <c r="T32" s="61">
        <v>2.0797282548455094E-2</v>
      </c>
    </row>
    <row r="33" spans="2:20" x14ac:dyDescent="0.25">
      <c r="B33" s="46">
        <v>2400</v>
      </c>
      <c r="C33" s="59">
        <v>1.3891223742618855</v>
      </c>
      <c r="D33" s="59">
        <v>3.6339403032401738</v>
      </c>
      <c r="E33" s="61">
        <v>0.41486284498481801</v>
      </c>
      <c r="F33" s="61">
        <v>0.85729303038297966</v>
      </c>
      <c r="G33" s="61">
        <v>11172.74360265728</v>
      </c>
      <c r="H33" s="61">
        <v>0.47320652437832872</v>
      </c>
      <c r="I33" s="61">
        <v>0.73818554337636511</v>
      </c>
      <c r="J33" s="61">
        <v>0.20351412162739757</v>
      </c>
      <c r="K33" s="61">
        <v>-0.79648587837260243</v>
      </c>
      <c r="L33" s="61">
        <v>0.20690330701625645</v>
      </c>
      <c r="M33" s="61">
        <v>-0.10038403733467142</v>
      </c>
      <c r="N33" s="61">
        <v>0.70498000000000005</v>
      </c>
      <c r="O33" s="61"/>
      <c r="P33" s="61"/>
      <c r="Q33" s="61">
        <v>7.6983816000000013E-4</v>
      </c>
      <c r="R33" s="61">
        <v>4.3227023666666661E-3</v>
      </c>
      <c r="S33" s="61">
        <v>11.660581486210845</v>
      </c>
      <c r="T33" s="61">
        <v>2.1517526803269765E-2</v>
      </c>
    </row>
    <row r="34" spans="2:20" x14ac:dyDescent="0.25">
      <c r="B34" s="46">
        <v>2500</v>
      </c>
      <c r="C34" s="59">
        <v>1.3891223742618855</v>
      </c>
      <c r="D34" s="59">
        <v>3.7853544825418477</v>
      </c>
      <c r="E34" s="61">
        <v>0.41486284498481801</v>
      </c>
      <c r="F34" s="61">
        <v>0.85729303038297966</v>
      </c>
      <c r="G34" s="61">
        <v>11172.74360265728</v>
      </c>
      <c r="H34" s="61">
        <v>0.47320652437832872</v>
      </c>
      <c r="I34" s="61">
        <v>0.76894327435038023</v>
      </c>
      <c r="J34" s="61">
        <v>0.21199387669520575</v>
      </c>
      <c r="K34" s="61">
        <v>-0.78800612330479425</v>
      </c>
      <c r="L34" s="61">
        <v>0.21013130969118243</v>
      </c>
      <c r="M34" s="61">
        <v>-0.10854255952556568</v>
      </c>
      <c r="N34" s="61">
        <v>0.70779000000000003</v>
      </c>
      <c r="O34" s="61"/>
      <c r="P34" s="61"/>
      <c r="Q34" s="61">
        <v>7.4199041280000012E-4</v>
      </c>
      <c r="R34" s="61">
        <v>4.1663350560000008E-3</v>
      </c>
      <c r="S34" s="61">
        <v>12.098216420343784</v>
      </c>
      <c r="T34" s="61">
        <v>2.2239547916810518E-2</v>
      </c>
    </row>
    <row r="35" spans="2:20" x14ac:dyDescent="0.25">
      <c r="B35" s="46">
        <v>2600</v>
      </c>
      <c r="C35" s="59">
        <v>1.3891223742618855</v>
      </c>
      <c r="D35" s="59">
        <v>3.9367686618435216</v>
      </c>
      <c r="E35" s="61">
        <v>0.41486284498481801</v>
      </c>
      <c r="F35" s="61">
        <v>0.85729303038297966</v>
      </c>
      <c r="G35" s="61">
        <v>11172.74360265728</v>
      </c>
      <c r="H35" s="61">
        <v>0.47320652437832872</v>
      </c>
      <c r="I35" s="61">
        <v>0.79970100532439548</v>
      </c>
      <c r="J35" s="61">
        <v>0.22047363176301399</v>
      </c>
      <c r="K35" s="61">
        <v>-0.77952636823698596</v>
      </c>
      <c r="L35" s="61">
        <v>0.21292787489004822</v>
      </c>
      <c r="M35" s="61">
        <v>-0.11698744317154075</v>
      </c>
      <c r="N35" s="61">
        <v>0.71138000000000001</v>
      </c>
      <c r="O35" s="61"/>
      <c r="P35" s="61"/>
      <c r="Q35" s="61">
        <v>7.1707104000000006E-4</v>
      </c>
      <c r="R35" s="61">
        <v>4.0264108000000005E-3</v>
      </c>
      <c r="S35" s="61">
        <v>12.518648913606418</v>
      </c>
      <c r="T35" s="61">
        <v>2.2961581081816826E-2</v>
      </c>
    </row>
    <row r="36" spans="2:20" x14ac:dyDescent="0.25">
      <c r="B36" s="46">
        <v>2700</v>
      </c>
      <c r="C36" s="59">
        <v>1.3891223742618855</v>
      </c>
      <c r="D36" s="59">
        <v>4.0881828411451959</v>
      </c>
      <c r="E36" s="61">
        <v>0.41486284498481801</v>
      </c>
      <c r="F36" s="61">
        <v>0.85729303038297966</v>
      </c>
      <c r="G36" s="61">
        <v>11172.74360265728</v>
      </c>
      <c r="H36" s="61">
        <v>0.47320652437832872</v>
      </c>
      <c r="I36" s="61">
        <v>0.8304587362984106</v>
      </c>
      <c r="J36" s="61">
        <v>0.22895338683082223</v>
      </c>
      <c r="K36" s="61">
        <v>-0.77104661316917777</v>
      </c>
      <c r="L36" s="61">
        <v>0.21529300261285378</v>
      </c>
      <c r="M36" s="61">
        <v>-0.12571502978847246</v>
      </c>
      <c r="N36" s="61">
        <v>0.71567000000000003</v>
      </c>
      <c r="O36" s="61"/>
      <c r="P36" s="61"/>
      <c r="Q36" s="61">
        <v>6.9467701333333334E-4</v>
      </c>
      <c r="R36" s="61">
        <v>3.9006665629629633E-3</v>
      </c>
      <c r="S36" s="61">
        <v>12.922207621064928</v>
      </c>
      <c r="T36" s="61">
        <v>2.3681844934746024E-2</v>
      </c>
    </row>
    <row r="37" spans="2:20" x14ac:dyDescent="0.25">
      <c r="B37" s="46">
        <v>2800</v>
      </c>
      <c r="C37" s="59">
        <v>1.3891223742618855</v>
      </c>
      <c r="D37" s="59">
        <v>4.2395970204468698</v>
      </c>
      <c r="E37" s="61">
        <v>0.41486284498481801</v>
      </c>
      <c r="F37" s="61">
        <v>0.85729303038297966</v>
      </c>
      <c r="G37" s="61">
        <v>11172.74360265728</v>
      </c>
      <c r="H37" s="61">
        <v>0.47320652437832872</v>
      </c>
      <c r="I37" s="61">
        <v>0.86121646727242585</v>
      </c>
      <c r="J37" s="61">
        <v>0.23743314189863046</v>
      </c>
      <c r="K37" s="61">
        <v>-0.76256685810136959</v>
      </c>
      <c r="L37" s="61">
        <v>0.21722669285959936</v>
      </c>
      <c r="M37" s="61">
        <v>-0.13472166089223683</v>
      </c>
      <c r="N37" s="61">
        <v>0.72057000000000004</v>
      </c>
      <c r="O37" s="61"/>
      <c r="P37" s="61"/>
      <c r="Q37" s="61">
        <v>6.7445352000000019E-4</v>
      </c>
      <c r="R37" s="61">
        <v>3.787110042857143E-3</v>
      </c>
      <c r="S37" s="61">
        <v>13.30968010349271</v>
      </c>
      <c r="T37" s="61">
        <v>2.4399438210604498E-2</v>
      </c>
    </row>
    <row r="38" spans="2:20" x14ac:dyDescent="0.25">
      <c r="B38" s="46">
        <v>2900</v>
      </c>
      <c r="C38" s="59">
        <v>1.3891223742618855</v>
      </c>
      <c r="D38" s="59">
        <v>4.3910111997485437</v>
      </c>
      <c r="E38" s="61">
        <v>0.41486284498481801</v>
      </c>
      <c r="F38" s="61">
        <v>0.85729303038297966</v>
      </c>
      <c r="G38" s="61">
        <v>11172.74360265728</v>
      </c>
      <c r="H38" s="61">
        <v>0.47320652437832872</v>
      </c>
      <c r="I38" s="61">
        <v>0.89197419824644109</v>
      </c>
      <c r="J38" s="61">
        <v>0.2459128969664387</v>
      </c>
      <c r="K38" s="61">
        <v>-0.7540871030335613</v>
      </c>
      <c r="L38" s="61">
        <v>0.2187289456302848</v>
      </c>
      <c r="M38" s="61">
        <v>-0.14400367799870981</v>
      </c>
      <c r="N38" s="61">
        <v>0.72601000000000004</v>
      </c>
      <c r="O38" s="61"/>
      <c r="P38" s="61"/>
      <c r="Q38" s="61">
        <v>6.5611276137931044E-4</v>
      </c>
      <c r="R38" s="61">
        <v>3.6841252275862067E-3</v>
      </c>
      <c r="S38" s="61">
        <v>13.681734488753525</v>
      </c>
      <c r="T38" s="61">
        <v>2.5113372144169917E-2</v>
      </c>
    </row>
    <row r="39" spans="2:20" x14ac:dyDescent="0.25">
      <c r="B39" s="46">
        <v>3000</v>
      </c>
      <c r="C39" s="59">
        <v>1.3891223742618855</v>
      </c>
      <c r="D39" s="59">
        <v>4.5424253790502176</v>
      </c>
      <c r="E39" s="61">
        <v>0.41486284498481801</v>
      </c>
      <c r="F39" s="61">
        <v>0.85729303038297966</v>
      </c>
      <c r="G39" s="61">
        <v>11172.74360265728</v>
      </c>
      <c r="H39" s="61">
        <v>0.47320652437832872</v>
      </c>
      <c r="I39" s="61">
        <v>0.92273192922045622</v>
      </c>
      <c r="J39" s="61">
        <v>0.25439265203424694</v>
      </c>
      <c r="K39" s="61">
        <v>-0.74560734796575301</v>
      </c>
      <c r="L39" s="61">
        <v>0.21979976092490999</v>
      </c>
      <c r="M39" s="61">
        <v>-0.1535574226237672</v>
      </c>
      <c r="N39" s="61">
        <v>0.73194000000000004</v>
      </c>
      <c r="O39" s="61"/>
      <c r="P39" s="61"/>
      <c r="Q39" s="61">
        <v>6.3942278400000007E-4</v>
      </c>
      <c r="R39" s="61">
        <v>3.59040968E-3</v>
      </c>
      <c r="S39" s="61">
        <v>14.03885006993217</v>
      </c>
      <c r="T39" s="61">
        <v>2.5822397267756605E-2</v>
      </c>
    </row>
    <row r="40" spans="2:20" x14ac:dyDescent="0.25">
      <c r="B40" s="46">
        <v>3100</v>
      </c>
      <c r="C40" s="59">
        <v>1.3891223742618855</v>
      </c>
      <c r="D40" s="59">
        <v>4.6938395583518915</v>
      </c>
      <c r="E40" s="61">
        <v>0.41486284498481801</v>
      </c>
      <c r="F40" s="61">
        <v>0.85729303038297966</v>
      </c>
      <c r="G40" s="61">
        <v>11172.74360265728</v>
      </c>
      <c r="H40" s="61">
        <v>0.47320652437832872</v>
      </c>
      <c r="I40" s="61">
        <v>0.95348966019447146</v>
      </c>
      <c r="J40" s="61">
        <v>0.26287240710205517</v>
      </c>
      <c r="K40" s="61">
        <v>-0.73712759289794483</v>
      </c>
      <c r="L40" s="61">
        <v>0.22043913874347526</v>
      </c>
      <c r="M40" s="61">
        <v>-0.1633792362832851</v>
      </c>
      <c r="N40" s="61">
        <v>0.73829</v>
      </c>
      <c r="O40" s="61"/>
      <c r="P40" s="61"/>
      <c r="Q40" s="61">
        <v>6.2416465548387103E-4</v>
      </c>
      <c r="R40" s="61">
        <v>3.5047340774193546E-3</v>
      </c>
      <c r="S40" s="61">
        <v>14.38203928563621</v>
      </c>
      <c r="T40" s="61">
        <v>2.6526452494118238E-2</v>
      </c>
    </row>
    <row r="41" spans="2:20" x14ac:dyDescent="0.25">
      <c r="B41" s="46">
        <v>3200</v>
      </c>
      <c r="C41" s="59">
        <v>1.3891223742618855</v>
      </c>
      <c r="D41" s="59">
        <v>4.8452537376535654</v>
      </c>
      <c r="E41" s="61">
        <v>0.41486284498481801</v>
      </c>
      <c r="F41" s="61">
        <v>0.85729303038297966</v>
      </c>
      <c r="G41" s="61">
        <v>11172.74360265728</v>
      </c>
      <c r="H41" s="61">
        <v>0.47320652437832872</v>
      </c>
      <c r="I41" s="61">
        <v>0.98424739116848659</v>
      </c>
      <c r="J41" s="61">
        <v>0.27135216216986341</v>
      </c>
      <c r="K41" s="61">
        <v>-0.72864783783013665</v>
      </c>
      <c r="L41" s="61">
        <v>0.22064707908598019</v>
      </c>
      <c r="M41" s="61">
        <v>-0.17346546049313935</v>
      </c>
      <c r="N41" s="61">
        <v>0.74500999999999995</v>
      </c>
      <c r="O41" s="61"/>
      <c r="P41" s="61"/>
      <c r="Q41" s="61">
        <v>6.1016319000000005E-4</v>
      </c>
      <c r="R41" s="61">
        <v>3.4261147374999995E-3</v>
      </c>
      <c r="S41" s="61">
        <v>14.712065137647231</v>
      </c>
      <c r="T41" s="61">
        <v>2.7225163170898601E-2</v>
      </c>
    </row>
    <row r="42" spans="2:20" x14ac:dyDescent="0.25">
      <c r="B42" s="46">
        <v>3300</v>
      </c>
      <c r="C42" s="59">
        <v>1.3891223742618855</v>
      </c>
      <c r="D42" s="59">
        <v>4.9966679169552393</v>
      </c>
      <c r="E42" s="61">
        <v>0.41486284498481801</v>
      </c>
      <c r="F42" s="61">
        <v>0.85729303038297966</v>
      </c>
      <c r="G42" s="61">
        <v>11172.74360265728</v>
      </c>
      <c r="H42" s="61">
        <v>0.47320652437832872</v>
      </c>
      <c r="I42" s="61">
        <v>1.0150051221425018</v>
      </c>
      <c r="J42" s="61">
        <v>0.27983191723767165</v>
      </c>
      <c r="K42" s="61">
        <v>-0.72016808276232835</v>
      </c>
      <c r="L42" s="61">
        <v>0.22042358195242517</v>
      </c>
      <c r="M42" s="61">
        <v>-0.18381243676920594</v>
      </c>
      <c r="N42" s="61">
        <v>0.75205999999999995</v>
      </c>
      <c r="O42" s="61"/>
      <c r="P42" s="61"/>
      <c r="Q42" s="61">
        <v>5.9727237818181815E-4</v>
      </c>
      <c r="R42" s="61">
        <v>3.3537318060606058E-3</v>
      </c>
      <c r="S42" s="61">
        <v>15.029592734894512</v>
      </c>
      <c r="T42" s="61">
        <v>2.7918098715653764E-2</v>
      </c>
    </row>
    <row r="43" spans="2:20" x14ac:dyDescent="0.25">
      <c r="B43" s="46">
        <v>3400</v>
      </c>
      <c r="C43" s="59">
        <v>1.3891223742618855</v>
      </c>
      <c r="D43" s="59">
        <v>5.1480820962569132</v>
      </c>
      <c r="E43" s="61">
        <v>0.41486284498481801</v>
      </c>
      <c r="F43" s="61">
        <v>0.85729303038297966</v>
      </c>
      <c r="G43" s="61">
        <v>11172.74360265728</v>
      </c>
      <c r="H43" s="61">
        <v>0.47320652437832872</v>
      </c>
      <c r="I43" s="61">
        <v>1.0457628531165171</v>
      </c>
      <c r="J43" s="61">
        <v>0.28831167230547988</v>
      </c>
      <c r="K43" s="61">
        <v>-0.71168832769452006</v>
      </c>
      <c r="L43" s="61">
        <v>0.21976864734281004</v>
      </c>
      <c r="M43" s="61">
        <v>-0.19441650662736076</v>
      </c>
      <c r="N43" s="61">
        <v>0.75941000000000003</v>
      </c>
      <c r="O43" s="61"/>
      <c r="P43" s="61"/>
      <c r="Q43" s="61">
        <v>5.8537109647058825E-4</v>
      </c>
      <c r="R43" s="61">
        <v>3.2869051647058823E-3</v>
      </c>
      <c r="S43" s="61">
        <v>15.335162002358375</v>
      </c>
      <c r="T43" s="61">
        <v>2.860468215176451E-2</v>
      </c>
    </row>
    <row r="44" spans="2:20" x14ac:dyDescent="0.25">
      <c r="B44" s="46">
        <v>3500</v>
      </c>
      <c r="C44" s="59">
        <v>1.3891223742618855</v>
      </c>
      <c r="D44" s="59">
        <v>5.299496275558587</v>
      </c>
      <c r="E44" s="61">
        <v>0.41486284498481801</v>
      </c>
      <c r="F44" s="61">
        <v>0.85729303038297966</v>
      </c>
      <c r="G44" s="61">
        <v>11172.74360265728</v>
      </c>
      <c r="H44" s="61">
        <v>0.47320652437832872</v>
      </c>
      <c r="I44" s="61">
        <v>1.0765205840905323</v>
      </c>
      <c r="J44" s="61">
        <v>0.29679142737328812</v>
      </c>
      <c r="K44" s="61">
        <v>-0.70320857262671188</v>
      </c>
      <c r="L44" s="61">
        <v>0.21868227525713479</v>
      </c>
      <c r="M44" s="61">
        <v>-0.2052740115834798</v>
      </c>
      <c r="N44" s="61">
        <v>0.76702000000000004</v>
      </c>
      <c r="O44" s="61"/>
      <c r="P44" s="61"/>
      <c r="Q44" s="61">
        <v>5.7434457600000004E-4</v>
      </c>
      <c r="R44" s="61">
        <v>3.2249903771428574E-3</v>
      </c>
      <c r="S44" s="61">
        <v>15.629573205675444</v>
      </c>
      <c r="T44" s="61">
        <v>2.928505645133269E-2</v>
      </c>
    </row>
    <row r="45" spans="2:20" x14ac:dyDescent="0.25">
      <c r="B45" s="46">
        <v>3600</v>
      </c>
      <c r="C45" s="59">
        <v>1.3891223742618855</v>
      </c>
      <c r="D45" s="59">
        <v>5.4509104548602609</v>
      </c>
      <c r="E45" s="61">
        <v>0.41486284498481801</v>
      </c>
      <c r="F45" s="61">
        <v>0.85729303038297966</v>
      </c>
      <c r="G45" s="61">
        <v>11172.74360265728</v>
      </c>
      <c r="H45" s="61">
        <v>0.47320652437832872</v>
      </c>
      <c r="I45" s="61">
        <v>1.1072783150645475</v>
      </c>
      <c r="J45" s="61">
        <v>0.30527118244109636</v>
      </c>
      <c r="K45" s="61">
        <v>-0.6947288175589037</v>
      </c>
      <c r="L45" s="61">
        <v>0.21716446569539943</v>
      </c>
      <c r="M45" s="61">
        <v>-0.21638129315343896</v>
      </c>
      <c r="N45" s="61">
        <v>0.77485999999999999</v>
      </c>
      <c r="O45" s="61"/>
      <c r="P45" s="61"/>
      <c r="Q45" s="61">
        <v>5.6409807999999997E-4</v>
      </c>
      <c r="R45" s="61">
        <v>3.1674554888888886E-3</v>
      </c>
      <c r="S45" s="61">
        <v>15.913474826708548</v>
      </c>
      <c r="T45" s="61">
        <v>2.9959178145555036E-2</v>
      </c>
    </row>
    <row r="46" spans="2:20" x14ac:dyDescent="0.25">
      <c r="B46" s="46">
        <v>3700</v>
      </c>
      <c r="C46" s="59">
        <v>1.3891223742618855</v>
      </c>
      <c r="D46" s="59">
        <v>5.6023246341619348</v>
      </c>
      <c r="E46" s="61">
        <v>0.41486284498481801</v>
      </c>
      <c r="F46" s="61">
        <v>0.85729303038297966</v>
      </c>
      <c r="G46" s="61">
        <v>11172.74360265728</v>
      </c>
      <c r="H46" s="61">
        <v>0.47320652437832872</v>
      </c>
      <c r="I46" s="61">
        <v>1.1380360460385628</v>
      </c>
      <c r="J46" s="61">
        <v>0.31375093750890459</v>
      </c>
      <c r="K46" s="61">
        <v>-0.68624906249109541</v>
      </c>
      <c r="L46" s="61">
        <v>0.21521521865760396</v>
      </c>
      <c r="M46" s="61">
        <v>-0.22773469285311418</v>
      </c>
      <c r="N46" s="61">
        <v>0.78290000000000004</v>
      </c>
      <c r="O46" s="61"/>
      <c r="P46" s="61"/>
      <c r="Q46" s="61">
        <v>5.5454711351351355E-4</v>
      </c>
      <c r="R46" s="61">
        <v>3.1138260540540543E-3</v>
      </c>
      <c r="S46" s="61">
        <v>16.187552648140997</v>
      </c>
      <c r="T46" s="61">
        <v>3.0627237484547744E-2</v>
      </c>
    </row>
    <row r="47" spans="2:20" x14ac:dyDescent="0.25">
      <c r="B47" s="46">
        <v>3800</v>
      </c>
      <c r="C47" s="59">
        <v>1.3891223742618855</v>
      </c>
      <c r="D47" s="59">
        <v>5.7537388134636087</v>
      </c>
      <c r="E47" s="61">
        <v>0.41486284498481801</v>
      </c>
      <c r="F47" s="61">
        <v>0.85729303038297966</v>
      </c>
      <c r="G47" s="61">
        <v>11172.74360265728</v>
      </c>
      <c r="H47" s="61">
        <v>0.47320652437832872</v>
      </c>
      <c r="I47" s="61">
        <v>1.168793777012578</v>
      </c>
      <c r="J47" s="61">
        <v>0.32223069257671277</v>
      </c>
      <c r="K47" s="61">
        <v>-0.67776930742328723</v>
      </c>
      <c r="L47" s="61">
        <v>0.21283453414374853</v>
      </c>
      <c r="M47" s="61">
        <v>-0.23933055219838137</v>
      </c>
      <c r="N47" s="61">
        <v>0.79113</v>
      </c>
      <c r="O47" s="61"/>
      <c r="P47" s="61"/>
      <c r="Q47" s="61">
        <v>5.456298694736843E-4</v>
      </c>
      <c r="R47" s="61">
        <v>3.0637550210526315E-3</v>
      </c>
      <c r="S47" s="61">
        <v>16.452106268547258</v>
      </c>
      <c r="T47" s="61">
        <v>3.1288599301640685E-2</v>
      </c>
    </row>
    <row r="48" spans="2:20" x14ac:dyDescent="0.25">
      <c r="B48" s="46">
        <v>3900</v>
      </c>
      <c r="C48" s="59">
        <v>1.3891223742618855</v>
      </c>
      <c r="D48" s="59">
        <v>5.9051529927652826</v>
      </c>
      <c r="E48" s="61">
        <v>0.41486284498481801</v>
      </c>
      <c r="F48" s="61">
        <v>0.85729303038297966</v>
      </c>
      <c r="G48" s="61">
        <v>11172.74360265728</v>
      </c>
      <c r="H48" s="61">
        <v>0.47320652437832872</v>
      </c>
      <c r="I48" s="61">
        <v>1.199551507986593</v>
      </c>
      <c r="J48" s="61">
        <v>0.33071044764452101</v>
      </c>
      <c r="K48" s="61">
        <v>-0.66928955235547893</v>
      </c>
      <c r="L48" s="61">
        <v>0.2100224121538326</v>
      </c>
      <c r="M48" s="61">
        <v>-0.25116521270511649</v>
      </c>
      <c r="N48" s="61">
        <v>0.79952000000000001</v>
      </c>
      <c r="O48" s="61"/>
      <c r="P48" s="61"/>
      <c r="Q48" s="61">
        <v>5.3727743999999994E-4</v>
      </c>
      <c r="R48" s="61">
        <v>3.0168554666666668E-3</v>
      </c>
      <c r="S48" s="61">
        <v>16.707868091157192</v>
      </c>
      <c r="T48" s="61">
        <v>3.1943807940231363E-2</v>
      </c>
    </row>
    <row r="49" spans="2:20" x14ac:dyDescent="0.25">
      <c r="B49" s="46">
        <v>4000</v>
      </c>
      <c r="C49" s="59">
        <v>1.3891223742618855</v>
      </c>
      <c r="D49" s="59">
        <v>6.0565671720669565</v>
      </c>
      <c r="E49" s="61">
        <v>0.41486284498481801</v>
      </c>
      <c r="F49" s="61">
        <v>0.85729303038297966</v>
      </c>
      <c r="G49" s="61">
        <v>11172.74360265728</v>
      </c>
      <c r="H49" s="61">
        <v>0.47320652437832872</v>
      </c>
      <c r="I49" s="61">
        <v>1.2303092389606083</v>
      </c>
      <c r="J49" s="61">
        <v>0.33919020271232925</v>
      </c>
      <c r="K49" s="61">
        <v>-0.66080979728767075</v>
      </c>
      <c r="L49" s="61">
        <v>0.20677885268785678</v>
      </c>
      <c r="M49" s="61">
        <v>-0.26323501588919551</v>
      </c>
      <c r="N49" s="61">
        <v>0.80806</v>
      </c>
      <c r="O49" s="61"/>
      <c r="P49" s="61"/>
      <c r="Q49" s="61">
        <v>5.2944091199999999E-4</v>
      </c>
      <c r="R49" s="61">
        <v>2.9728527399999999E-3</v>
      </c>
      <c r="S49" s="61">
        <v>16.955169863931147</v>
      </c>
      <c r="T49" s="61">
        <v>3.2592509709220764E-2</v>
      </c>
    </row>
    <row r="50" spans="2:20" x14ac:dyDescent="0.25">
      <c r="B50" s="46">
        <v>4100</v>
      </c>
      <c r="C50" s="59">
        <v>1.3891223742618855</v>
      </c>
      <c r="D50" s="59">
        <v>6.2079813513686304</v>
      </c>
      <c r="E50" s="61">
        <v>0.41486284498481801</v>
      </c>
      <c r="F50" s="61">
        <v>0.85729303038297966</v>
      </c>
      <c r="G50" s="61">
        <v>11172.74360265728</v>
      </c>
      <c r="H50" s="61">
        <v>0.47320652437832872</v>
      </c>
      <c r="I50" s="61">
        <v>1.2610669699346235</v>
      </c>
      <c r="J50" s="61">
        <v>0.34766995778013748</v>
      </c>
      <c r="K50" s="61">
        <v>-0.65233004221986257</v>
      </c>
      <c r="L50" s="61">
        <v>0.20310385574582079</v>
      </c>
      <c r="M50" s="61">
        <v>-0.27553630326649431</v>
      </c>
      <c r="N50" s="61">
        <v>0.81672</v>
      </c>
      <c r="O50" s="61"/>
      <c r="P50" s="61"/>
      <c r="Q50" s="61">
        <v>5.2206335999999999E-4</v>
      </c>
      <c r="R50" s="61">
        <v>2.9314272E-3</v>
      </c>
      <c r="S50" s="61">
        <v>17.19477228946813</v>
      </c>
      <c r="T50" s="61">
        <v>3.3235582863443101E-2</v>
      </c>
    </row>
    <row r="51" spans="2:20" x14ac:dyDescent="0.25">
      <c r="B51" s="46">
        <v>4200</v>
      </c>
      <c r="C51" s="59">
        <v>1.3891223742618855</v>
      </c>
      <c r="D51" s="59">
        <v>6.3593955306703043</v>
      </c>
      <c r="E51" s="61">
        <v>0.41486284498481801</v>
      </c>
      <c r="F51" s="61">
        <v>0.85729303038297966</v>
      </c>
      <c r="G51" s="61">
        <v>11172.74360265728</v>
      </c>
      <c r="H51" s="61">
        <v>0.47320652437832872</v>
      </c>
      <c r="I51" s="61">
        <v>1.2918247009086388</v>
      </c>
      <c r="J51" s="61">
        <v>0.35614971284794572</v>
      </c>
      <c r="K51" s="61">
        <v>-0.64385028715205428</v>
      </c>
      <c r="L51" s="61">
        <v>0.19899742132772472</v>
      </c>
      <c r="M51" s="61">
        <v>-0.2880654163528889</v>
      </c>
      <c r="N51" s="61">
        <v>0.82550999999999997</v>
      </c>
      <c r="O51" s="61"/>
      <c r="P51" s="61"/>
      <c r="Q51" s="61">
        <v>5.1511823999999997E-4</v>
      </c>
      <c r="R51" s="61">
        <v>2.8924297999999996E-3</v>
      </c>
      <c r="S51" s="61">
        <v>17.42660208629891</v>
      </c>
      <c r="T51" s="61">
        <v>3.3871763759694806E-2</v>
      </c>
    </row>
    <row r="52" spans="2:20" x14ac:dyDescent="0.25">
      <c r="B52" s="46">
        <v>4300</v>
      </c>
      <c r="C52" s="59">
        <v>1.3891223742618855</v>
      </c>
      <c r="D52" s="59">
        <v>6.5108097099719782</v>
      </c>
      <c r="E52" s="61">
        <v>0.41486284498481801</v>
      </c>
      <c r="F52" s="61">
        <v>0.85729303038297966</v>
      </c>
      <c r="G52" s="61">
        <v>11172.74360265728</v>
      </c>
      <c r="H52" s="61">
        <v>0.47320652437832872</v>
      </c>
      <c r="I52" s="61">
        <v>1.322582431882654</v>
      </c>
      <c r="J52" s="61">
        <v>0.36462946791575396</v>
      </c>
      <c r="K52" s="61">
        <v>-0.63537053208424599</v>
      </c>
      <c r="L52" s="61">
        <v>0.19445954943356858</v>
      </c>
      <c r="M52" s="61">
        <v>-0.3008186966642552</v>
      </c>
      <c r="N52" s="61">
        <v>0.83438999999999997</v>
      </c>
      <c r="O52" s="61"/>
      <c r="P52" s="61"/>
      <c r="Q52" s="61">
        <v>5.0855100279069768E-4</v>
      </c>
      <c r="R52" s="61">
        <v>2.855554241860465E-3</v>
      </c>
      <c r="S52" s="61">
        <v>17.651642699776868</v>
      </c>
      <c r="T52" s="61">
        <v>3.4502755375682932E-2</v>
      </c>
    </row>
    <row r="53" spans="2:20" x14ac:dyDescent="0.25">
      <c r="B53" s="46">
        <v>4400</v>
      </c>
      <c r="C53" s="59">
        <v>1.3891223742618855</v>
      </c>
      <c r="D53" s="59">
        <v>6.6622238892736521</v>
      </c>
      <c r="E53" s="61">
        <v>0.41486284498481801</v>
      </c>
      <c r="F53" s="61">
        <v>0.85729303038297966</v>
      </c>
      <c r="G53" s="61">
        <v>11172.74360265728</v>
      </c>
      <c r="H53" s="61">
        <v>0.47320652437832872</v>
      </c>
      <c r="I53" s="61">
        <v>1.353340162856669</v>
      </c>
      <c r="J53" s="61">
        <v>0.37310922298356219</v>
      </c>
      <c r="K53" s="61">
        <v>-0.62689077701643781</v>
      </c>
      <c r="L53" s="61">
        <v>0.18949024006335205</v>
      </c>
      <c r="M53" s="61">
        <v>-0.31379248571646901</v>
      </c>
      <c r="N53" s="61">
        <v>0.84336999999999995</v>
      </c>
      <c r="O53" s="61"/>
      <c r="P53" s="61"/>
      <c r="Q53" s="61">
        <v>5.0234184000000001E-4</v>
      </c>
      <c r="R53" s="61">
        <v>2.8206892999999996E-3</v>
      </c>
      <c r="S53" s="61">
        <v>17.869824651425859</v>
      </c>
      <c r="T53" s="61">
        <v>3.5127438994877795E-2</v>
      </c>
    </row>
    <row r="54" spans="2:20" x14ac:dyDescent="0.25">
      <c r="B54" s="46">
        <v>4500</v>
      </c>
      <c r="C54" s="59">
        <v>1.3891223742618855</v>
      </c>
      <c r="D54" s="59">
        <v>6.8136380685753259</v>
      </c>
      <c r="E54" s="61">
        <v>0.41486284498481801</v>
      </c>
      <c r="F54" s="61">
        <v>0.85729303038297966</v>
      </c>
      <c r="G54" s="61">
        <v>11172.74360265728</v>
      </c>
      <c r="H54" s="61">
        <v>0.47320652437832872</v>
      </c>
      <c r="I54" s="61">
        <v>1.3840978938306843</v>
      </c>
      <c r="J54" s="61">
        <v>0.38158897805137043</v>
      </c>
      <c r="K54" s="61">
        <v>-0.61841102194862962</v>
      </c>
      <c r="L54" s="61">
        <v>0.18408949321707557</v>
      </c>
      <c r="M54" s="61">
        <v>-0.32698312502540644</v>
      </c>
      <c r="N54" s="61">
        <v>0.85243999999999998</v>
      </c>
      <c r="O54" s="61"/>
      <c r="P54" s="61"/>
      <c r="Q54" s="61">
        <v>4.9646105600000001E-4</v>
      </c>
      <c r="R54" s="61">
        <v>2.7876682311111104E-3</v>
      </c>
      <c r="S54" s="61">
        <v>18.081500023789626</v>
      </c>
      <c r="T54" s="61">
        <v>3.5745915070545274E-2</v>
      </c>
    </row>
    <row r="55" spans="2:20" x14ac:dyDescent="0.25">
      <c r="B55" s="46">
        <v>4600</v>
      </c>
      <c r="C55" s="59">
        <v>1.3891223742618855</v>
      </c>
      <c r="D55" s="59">
        <v>6.9650522478769998</v>
      </c>
      <c r="E55" s="61">
        <v>0.41486284498481801</v>
      </c>
      <c r="F55" s="61">
        <v>0.85729303038297966</v>
      </c>
      <c r="G55" s="61">
        <v>11172.74360265728</v>
      </c>
      <c r="H55" s="61">
        <v>0.47320652437832872</v>
      </c>
      <c r="I55" s="61">
        <v>1.4148556248046995</v>
      </c>
      <c r="J55" s="61">
        <v>0.39006873311917867</v>
      </c>
      <c r="K55" s="61">
        <v>-0.60993126688082133</v>
      </c>
      <c r="L55" s="61">
        <v>0.17825730889473909</v>
      </c>
      <c r="M55" s="61">
        <v>-0.34038695610694342</v>
      </c>
      <c r="N55" s="61">
        <v>0.86158000000000001</v>
      </c>
      <c r="O55" s="61"/>
      <c r="P55" s="61"/>
      <c r="Q55" s="61">
        <v>4.9087584E-4</v>
      </c>
      <c r="R55" s="61">
        <v>2.7563067999999999E-3</v>
      </c>
      <c r="S55" s="61">
        <v>18.287232461623336</v>
      </c>
      <c r="T55" s="61">
        <v>3.6358995757780843E-2</v>
      </c>
    </row>
    <row r="56" spans="2:20" x14ac:dyDescent="0.25">
      <c r="B56" s="46">
        <v>4700</v>
      </c>
      <c r="C56" s="59">
        <v>1.3891223742618855</v>
      </c>
      <c r="D56" s="59">
        <v>7.1164664271786737</v>
      </c>
      <c r="E56" s="61">
        <v>0.41486284498481801</v>
      </c>
      <c r="F56" s="61">
        <v>0.85729303038297966</v>
      </c>
      <c r="G56" s="61">
        <v>11172.74360265728</v>
      </c>
      <c r="H56" s="61">
        <v>0.47320652437832872</v>
      </c>
      <c r="I56" s="61">
        <v>1.4456133557787147</v>
      </c>
      <c r="J56" s="61">
        <v>0.3985484881869869</v>
      </c>
      <c r="K56" s="61">
        <v>-0.60145151181301304</v>
      </c>
      <c r="L56" s="61">
        <v>0.17199368709634244</v>
      </c>
      <c r="M56" s="61">
        <v>-0.35400032047695579</v>
      </c>
      <c r="N56" s="61">
        <v>0.87078999999999995</v>
      </c>
      <c r="O56" s="61"/>
      <c r="P56" s="61"/>
      <c r="Q56" s="61">
        <v>4.8556732595744681E-4</v>
      </c>
      <c r="R56" s="61">
        <v>2.7264990723404252E-3</v>
      </c>
      <c r="S56" s="61">
        <v>18.487159485400202</v>
      </c>
      <c r="T56" s="61">
        <v>3.6966310197822823E-2</v>
      </c>
    </row>
    <row r="57" spans="2:20" x14ac:dyDescent="0.25">
      <c r="B57" s="46">
        <v>4800</v>
      </c>
      <c r="C57" s="59">
        <v>1.3891223742618855</v>
      </c>
      <c r="D57" s="59">
        <v>7.2678806064803476</v>
      </c>
      <c r="E57" s="61">
        <v>0.41486284498481801</v>
      </c>
      <c r="F57" s="61">
        <v>0.85729303038297966</v>
      </c>
      <c r="G57" s="61">
        <v>11172.74360265728</v>
      </c>
      <c r="H57" s="61">
        <v>0.47320652437832872</v>
      </c>
      <c r="I57" s="61">
        <v>1.4763710867527302</v>
      </c>
      <c r="J57" s="61">
        <v>0.40702824325479514</v>
      </c>
      <c r="K57" s="61">
        <v>-0.59297175674520486</v>
      </c>
      <c r="L57" s="61">
        <v>0.16529862782188584</v>
      </c>
      <c r="M57" s="61">
        <v>-0.36781955965131957</v>
      </c>
      <c r="N57" s="61">
        <v>0.88005999999999995</v>
      </c>
      <c r="O57" s="61"/>
      <c r="P57" s="61"/>
      <c r="Q57" s="61">
        <v>4.8051276000000005E-4</v>
      </c>
      <c r="R57" s="61">
        <v>2.6981172833333328E-3</v>
      </c>
      <c r="S57" s="61">
        <v>18.681627925707161</v>
      </c>
      <c r="T57" s="61">
        <v>3.7568166746709056E-2</v>
      </c>
    </row>
    <row r="58" spans="2:20" x14ac:dyDescent="0.25">
      <c r="B58" s="46">
        <v>4900</v>
      </c>
      <c r="C58" s="59">
        <v>1.3891223742618855</v>
      </c>
      <c r="D58" s="59">
        <v>7.4192947857820215</v>
      </c>
      <c r="E58" s="61">
        <v>0.41486284498481801</v>
      </c>
      <c r="F58" s="61">
        <v>0.85729303038297966</v>
      </c>
      <c r="G58" s="61">
        <v>11172.74360265728</v>
      </c>
      <c r="H58" s="61">
        <v>0.47320652437832872</v>
      </c>
      <c r="I58" s="61">
        <v>1.5071288177267452</v>
      </c>
      <c r="J58" s="61">
        <v>0.41550799832260327</v>
      </c>
      <c r="K58" s="61">
        <v>-0.58449200167739668</v>
      </c>
      <c r="L58" s="61">
        <v>0.15817213107136927</v>
      </c>
      <c r="M58" s="61">
        <v>-0.38184101514591057</v>
      </c>
      <c r="N58" s="61">
        <v>0.88937999999999995</v>
      </c>
      <c r="O58" s="61"/>
      <c r="P58" s="61"/>
      <c r="Q58" s="61">
        <v>4.7569124571428571E-4</v>
      </c>
      <c r="R58" s="61">
        <v>2.6710440979591833E-3</v>
      </c>
      <c r="S58" s="61">
        <v>18.870981286181443</v>
      </c>
      <c r="T58" s="61">
        <v>3.8164936685018386E-2</v>
      </c>
    </row>
    <row r="59" spans="2:20" x14ac:dyDescent="0.25">
      <c r="B59" s="46">
        <v>5000</v>
      </c>
      <c r="C59" s="59">
        <v>1.3891223742618855</v>
      </c>
      <c r="D59" s="59">
        <v>7.5707089650836954</v>
      </c>
      <c r="E59" s="61">
        <v>0.41486284498481801</v>
      </c>
      <c r="F59" s="61">
        <v>0.85729303038297966</v>
      </c>
      <c r="G59" s="61">
        <v>11172.74360265728</v>
      </c>
      <c r="H59" s="61">
        <v>0.47320652437832872</v>
      </c>
      <c r="I59" s="61">
        <v>1.5378865487007605</v>
      </c>
      <c r="J59" s="61">
        <v>0.4239877533904115</v>
      </c>
      <c r="K59" s="61">
        <v>-0.5760122466095885</v>
      </c>
      <c r="L59" s="61">
        <v>0.15061419684479227</v>
      </c>
      <c r="M59" s="61">
        <v>-0.39606102847660485</v>
      </c>
      <c r="N59" s="61">
        <v>0.89875000000000005</v>
      </c>
      <c r="O59" s="61"/>
      <c r="P59" s="61"/>
      <c r="Q59" s="61">
        <v>4.7108880000000004E-4</v>
      </c>
      <c r="R59" s="61">
        <v>2.6452009999999998E-3</v>
      </c>
      <c r="S59" s="61">
        <v>19.055347093530184</v>
      </c>
      <c r="T59" s="61">
        <v>3.8756364814583028E-2</v>
      </c>
    </row>
    <row r="60" spans="2:20" x14ac:dyDescent="0.25">
      <c r="B60" s="46">
        <v>5100</v>
      </c>
      <c r="C60" s="59">
        <v>1.3891223742618855</v>
      </c>
      <c r="D60" s="59">
        <v>7.7221231443853693</v>
      </c>
      <c r="E60" s="61">
        <v>0.41486284498481801</v>
      </c>
      <c r="F60" s="61">
        <v>0.85729303038297966</v>
      </c>
      <c r="G60" s="61">
        <v>11172.74360265728</v>
      </c>
      <c r="H60" s="61">
        <v>0.47320652437832872</v>
      </c>
      <c r="I60" s="61">
        <v>1.5686442796747757</v>
      </c>
      <c r="J60" s="61">
        <v>0.43246750845821974</v>
      </c>
      <c r="K60" s="61">
        <v>-0.56753249154178032</v>
      </c>
      <c r="L60" s="61">
        <v>0.1426248251421551</v>
      </c>
      <c r="M60" s="61">
        <v>-0.41047594115927827</v>
      </c>
      <c r="N60" s="61">
        <v>0.90817000000000003</v>
      </c>
      <c r="O60" s="61"/>
      <c r="P60" s="61"/>
      <c r="Q60" s="61">
        <v>4.6669253647058838E-4</v>
      </c>
      <c r="R60" s="61">
        <v>2.6205156313725488E-3</v>
      </c>
      <c r="S60" s="61">
        <v>19.234849273061716</v>
      </c>
      <c r="T60" s="61">
        <v>3.9342208071822489E-2</v>
      </c>
    </row>
    <row r="61" spans="2:20" x14ac:dyDescent="0.25">
      <c r="B61" s="46">
        <v>5200</v>
      </c>
      <c r="C61" s="59">
        <v>1.3891223742618855</v>
      </c>
      <c r="D61" s="59">
        <v>7.8735373236870432</v>
      </c>
      <c r="E61" s="61">
        <v>0.41486284498481801</v>
      </c>
      <c r="F61" s="61">
        <v>0.85729303038297966</v>
      </c>
      <c r="G61" s="61">
        <v>11172.74360265728</v>
      </c>
      <c r="H61" s="61">
        <v>0.47320652437832872</v>
      </c>
      <c r="I61" s="61">
        <v>1.599402010648791</v>
      </c>
      <c r="J61" s="61">
        <v>0.44094726352602798</v>
      </c>
      <c r="K61" s="61">
        <v>-0.55905273647397202</v>
      </c>
      <c r="L61" s="61">
        <v>0.13420401596345793</v>
      </c>
      <c r="M61" s="61">
        <v>-0.4250820947098069</v>
      </c>
      <c r="N61" s="61">
        <v>0.91762999999999995</v>
      </c>
      <c r="O61" s="61"/>
      <c r="P61" s="61"/>
      <c r="Q61" s="61">
        <v>4.6248551999999998E-4</v>
      </c>
      <c r="R61" s="61">
        <v>2.5968928999999998E-3</v>
      </c>
      <c r="S61" s="61">
        <v>19.409819783924533</v>
      </c>
      <c r="T61" s="61">
        <v>3.9922943305803552E-2</v>
      </c>
    </row>
    <row r="62" spans="2:20" x14ac:dyDescent="0.25">
      <c r="B62" s="46">
        <v>5300</v>
      </c>
      <c r="C62" s="59">
        <v>1.3891223742618855</v>
      </c>
      <c r="D62" s="59">
        <v>8.0249515029887171</v>
      </c>
      <c r="E62" s="61">
        <v>0.41486284498481801</v>
      </c>
      <c r="F62" s="61">
        <v>0.85729303038297966</v>
      </c>
      <c r="G62" s="61">
        <v>11172.74360265728</v>
      </c>
      <c r="H62" s="61">
        <v>0.47320652437832872</v>
      </c>
      <c r="I62" s="61">
        <v>1.6301597416228062</v>
      </c>
      <c r="J62" s="61">
        <v>0.44942701859383621</v>
      </c>
      <c r="K62" s="61">
        <v>-0.55057298140616373</v>
      </c>
      <c r="L62" s="61">
        <v>0.12535176930870059</v>
      </c>
      <c r="M62" s="61">
        <v>-0.43987583064406655</v>
      </c>
      <c r="N62" s="61">
        <v>0.92712000000000006</v>
      </c>
      <c r="O62" s="61"/>
      <c r="P62" s="61"/>
      <c r="Q62" s="61">
        <v>4.5845209358490565E-4</v>
      </c>
      <c r="R62" s="61">
        <v>2.5742448905660379E-3</v>
      </c>
      <c r="S62" s="61">
        <v>19.580585892148662</v>
      </c>
      <c r="T62" s="61">
        <v>4.049910099022392E-2</v>
      </c>
    </row>
    <row r="63" spans="2:20" x14ac:dyDescent="0.25">
      <c r="B63" s="46">
        <v>5400</v>
      </c>
      <c r="C63" s="59">
        <v>1.3891223742618855</v>
      </c>
      <c r="D63" s="59">
        <v>8.1763656822903918</v>
      </c>
      <c r="E63" s="61">
        <v>0.41486284498481801</v>
      </c>
      <c r="F63" s="61">
        <v>0.85729303038297966</v>
      </c>
      <c r="G63" s="61">
        <v>11172.74360265728</v>
      </c>
      <c r="H63" s="61">
        <v>0.47320652437832872</v>
      </c>
      <c r="I63" s="61">
        <v>1.6609174725968212</v>
      </c>
      <c r="J63" s="61">
        <v>0.45790677366164445</v>
      </c>
      <c r="K63" s="61">
        <v>-0.54209322633835555</v>
      </c>
      <c r="L63" s="61">
        <v>0.11606808517788286</v>
      </c>
      <c r="M63" s="61">
        <v>-0.45485349047793305</v>
      </c>
      <c r="N63" s="61">
        <v>0.93664000000000003</v>
      </c>
      <c r="O63" s="61"/>
      <c r="P63" s="61"/>
      <c r="Q63" s="61">
        <v>4.5458261333333332E-4</v>
      </c>
      <c r="R63" s="61">
        <v>2.5525174518518522E-3</v>
      </c>
      <c r="S63" s="61">
        <v>19.747258985666932</v>
      </c>
      <c r="T63" s="61">
        <v>4.107053360269125E-2</v>
      </c>
    </row>
    <row r="64" spans="2:20" x14ac:dyDescent="0.25">
      <c r="B64" s="46">
        <v>5500</v>
      </c>
      <c r="C64" s="59">
        <v>1.3891223742618855</v>
      </c>
      <c r="D64" s="59">
        <v>8.3277798615920648</v>
      </c>
      <c r="E64" s="61">
        <v>0.41486284498481801</v>
      </c>
      <c r="F64" s="61">
        <v>0.85729303038297966</v>
      </c>
      <c r="G64" s="61">
        <v>11172.74360265728</v>
      </c>
      <c r="H64" s="61">
        <v>0.47320652437832872</v>
      </c>
      <c r="I64" s="61">
        <v>1.6916752035708364</v>
      </c>
      <c r="J64" s="61">
        <v>0.46638652872945269</v>
      </c>
      <c r="K64" s="61">
        <v>-0.53361347127054737</v>
      </c>
      <c r="L64" s="61">
        <v>0.10635296357100527</v>
      </c>
      <c r="M64" s="61">
        <v>-0.47001141572728256</v>
      </c>
      <c r="N64" s="61">
        <v>0.94620000000000004</v>
      </c>
      <c r="O64" s="61"/>
      <c r="P64" s="61"/>
      <c r="Q64" s="61">
        <v>4.5087290181818182E-4</v>
      </c>
      <c r="R64" s="61">
        <v>2.531687127272727E-3</v>
      </c>
      <c r="S64" s="61">
        <v>19.909736335173619</v>
      </c>
      <c r="T64" s="61">
        <v>4.1636363078000893E-2</v>
      </c>
    </row>
    <row r="65" spans="2:20" x14ac:dyDescent="0.25">
      <c r="B65" s="46">
        <v>5600</v>
      </c>
      <c r="C65" s="59">
        <v>1.3891223742618855</v>
      </c>
      <c r="D65" s="59">
        <v>8.4791940408937396</v>
      </c>
      <c r="E65" s="61">
        <v>0.41486284498481801</v>
      </c>
      <c r="F65" s="61">
        <v>0.85729303038297966</v>
      </c>
      <c r="G65" s="61">
        <v>11172.74360265728</v>
      </c>
      <c r="H65" s="61">
        <v>0.47320652437832872</v>
      </c>
      <c r="I65" s="61">
        <v>1.7224329345448517</v>
      </c>
      <c r="J65" s="61">
        <v>0.47486628379726092</v>
      </c>
      <c r="K65" s="61">
        <v>-0.52513371620273908</v>
      </c>
      <c r="L65" s="61">
        <v>9.6206404488067582E-2</v>
      </c>
      <c r="M65" s="61">
        <v>-0.48534594790799102</v>
      </c>
      <c r="N65" s="61">
        <v>0.95577999999999996</v>
      </c>
      <c r="O65" s="61"/>
      <c r="P65" s="61"/>
      <c r="Q65" s="61">
        <v>4.4730503999999995E-4</v>
      </c>
      <c r="R65" s="61">
        <v>2.5116532999999996E-3</v>
      </c>
      <c r="S65" s="61">
        <v>20.068543372269232</v>
      </c>
      <c r="T65" s="61">
        <v>4.2197924862458956E-2</v>
      </c>
    </row>
    <row r="66" spans="2:20" x14ac:dyDescent="0.25">
      <c r="B66" s="46">
        <v>5700</v>
      </c>
      <c r="C66" s="59">
        <v>1.3891223742618855</v>
      </c>
      <c r="D66" s="59">
        <v>8.6306082201954126</v>
      </c>
      <c r="E66" s="61">
        <v>0.41486284498481801</v>
      </c>
      <c r="F66" s="61">
        <v>0.85729303038297966</v>
      </c>
      <c r="G66" s="61">
        <v>11172.74360265728</v>
      </c>
      <c r="H66" s="61">
        <v>0.47320652437832872</v>
      </c>
      <c r="I66" s="61">
        <v>1.7531906655188669</v>
      </c>
      <c r="J66" s="61">
        <v>0.48334603886506916</v>
      </c>
      <c r="K66" s="61">
        <v>-0.51665396113493078</v>
      </c>
      <c r="L66" s="61">
        <v>8.5628407929069728E-2</v>
      </c>
      <c r="M66" s="61">
        <v>-0.50085342853593418</v>
      </c>
      <c r="N66" s="61">
        <v>0.96538000000000002</v>
      </c>
      <c r="O66" s="61"/>
      <c r="P66" s="61"/>
      <c r="Q66" s="61">
        <v>4.4387156210526314E-4</v>
      </c>
      <c r="R66" s="61">
        <v>2.4923740491228068E-3</v>
      </c>
      <c r="S66" s="61">
        <v>20.223779494451605</v>
      </c>
      <c r="T66" s="61">
        <v>4.275512359141443E-2</v>
      </c>
    </row>
    <row r="67" spans="2:20" x14ac:dyDescent="0.25">
      <c r="B67" s="46">
        <v>5800</v>
      </c>
      <c r="C67" s="59">
        <v>1.3891223742618855</v>
      </c>
      <c r="D67" s="59">
        <v>8.7820223994970874</v>
      </c>
      <c r="E67" s="61">
        <v>0.41486284498481801</v>
      </c>
      <c r="F67" s="61">
        <v>0.85729303038297966</v>
      </c>
      <c r="G67" s="61">
        <v>11172.74360265728</v>
      </c>
      <c r="H67" s="61">
        <v>0.47320652437832872</v>
      </c>
      <c r="I67" s="61">
        <v>1.7839483964928822</v>
      </c>
      <c r="J67" s="61">
        <v>0.4918257939328774</v>
      </c>
      <c r="K67" s="61">
        <v>-0.5081742060671226</v>
      </c>
      <c r="L67" s="61">
        <v>7.461897389401187E-2</v>
      </c>
      <c r="M67" s="61">
        <v>-0.51653019912698817</v>
      </c>
      <c r="N67" s="61">
        <v>0.97499999999999998</v>
      </c>
      <c r="O67" s="61"/>
      <c r="P67" s="61"/>
      <c r="Q67" s="61">
        <v>4.4056551724137925E-4</v>
      </c>
      <c r="R67" s="61">
        <v>2.4738103448275861E-3</v>
      </c>
      <c r="S67" s="61">
        <v>20.375540628061433</v>
      </c>
      <c r="T67" s="61">
        <v>4.3307869689598336E-2</v>
      </c>
    </row>
    <row r="68" spans="2:20" x14ac:dyDescent="0.25">
      <c r="B68" s="46">
        <v>5900</v>
      </c>
      <c r="C68" s="59">
        <v>1.3891223742618855</v>
      </c>
      <c r="D68" s="59">
        <v>8.9334365787987604</v>
      </c>
      <c r="E68" s="61">
        <v>0.41486284498481801</v>
      </c>
      <c r="F68" s="61">
        <v>0.85729303038297966</v>
      </c>
      <c r="G68" s="61">
        <v>11172.74360265728</v>
      </c>
      <c r="H68" s="61">
        <v>0.47320652437832872</v>
      </c>
      <c r="I68" s="61">
        <v>1.8147061274668972</v>
      </c>
      <c r="J68" s="61">
        <v>0.50030554900068569</v>
      </c>
      <c r="K68" s="61">
        <v>-0.49969445099931431</v>
      </c>
      <c r="L68" s="61">
        <v>6.3178102382893342E-2</v>
      </c>
      <c r="M68" s="61">
        <v>-0.53237260119702867</v>
      </c>
      <c r="N68" s="61">
        <v>0.98463999999999996</v>
      </c>
      <c r="O68" s="61"/>
      <c r="P68" s="61"/>
      <c r="Q68" s="61">
        <v>4.3738042576271183E-4</v>
      </c>
      <c r="R68" s="61">
        <v>2.4559258033898302E-3</v>
      </c>
      <c r="S68" s="61">
        <v>20.523919378012369</v>
      </c>
      <c r="T68" s="61">
        <v>4.3856079182075423E-2</v>
      </c>
    </row>
    <row r="69" spans="2:20" x14ac:dyDescent="0.25">
      <c r="B69" s="46">
        <v>6000</v>
      </c>
      <c r="C69" s="59">
        <v>1.3891223742618855</v>
      </c>
      <c r="D69" s="59">
        <v>9.0848507581004352</v>
      </c>
      <c r="E69" s="61">
        <v>0.41486284498481801</v>
      </c>
      <c r="F69" s="61">
        <v>0.85729303038297966</v>
      </c>
      <c r="G69" s="61">
        <v>11172.74360265728</v>
      </c>
      <c r="H69" s="61">
        <v>0.47320652437832872</v>
      </c>
      <c r="I69" s="61">
        <v>1.8454638584409124</v>
      </c>
      <c r="J69" s="61">
        <v>0.50878530406849387</v>
      </c>
      <c r="K69" s="61">
        <v>-0.49121469593150613</v>
      </c>
      <c r="L69" s="61">
        <v>5.1305793395715338E-2</v>
      </c>
      <c r="M69" s="61">
        <v>-0.54837697626193194</v>
      </c>
      <c r="N69" s="61">
        <v>0.99429999999999996</v>
      </c>
      <c r="O69" s="61"/>
      <c r="P69" s="61"/>
      <c r="Q69" s="61">
        <v>4.3431024E-4</v>
      </c>
      <c r="R69" s="61">
        <v>2.4386864666666665E-3</v>
      </c>
      <c r="S69" s="61">
        <v>20.669005169840396</v>
      </c>
      <c r="T69" s="61">
        <v>4.4399673508955594E-2</v>
      </c>
    </row>
    <row r="70" spans="2:20" x14ac:dyDescent="0.25">
      <c r="C70" s="45"/>
      <c r="D70" s="45"/>
    </row>
    <row r="71" spans="2:20" x14ac:dyDescent="0.25">
      <c r="C71" s="45"/>
      <c r="D71" s="45"/>
    </row>
  </sheetData>
  <mergeCells count="1">
    <mergeCell ref="E7:P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G32"/>
  <sheetViews>
    <sheetView showGridLines="0" workbookViewId="0">
      <selection activeCell="F33" sqref="F33"/>
    </sheetView>
  </sheetViews>
  <sheetFormatPr defaultRowHeight="12" x14ac:dyDescent="0.25"/>
  <cols>
    <col min="1" max="1" width="1.875" style="44" customWidth="1"/>
    <col min="2" max="5" width="10.125" style="44" customWidth="1"/>
    <col min="6" max="6" width="11.375" style="44" customWidth="1"/>
    <col min="7" max="7" width="10.125" style="44" customWidth="1"/>
    <col min="8" max="8" width="1.5" style="44" customWidth="1"/>
    <col min="9" max="16384" width="9" style="44"/>
  </cols>
  <sheetData>
    <row r="1" spans="2:7" ht="6" customHeight="1" x14ac:dyDescent="0.25"/>
    <row r="8" spans="2:7" x14ac:dyDescent="0.25">
      <c r="B8" s="76" t="s">
        <v>43</v>
      </c>
      <c r="C8" s="77" t="s">
        <v>71</v>
      </c>
      <c r="D8" s="77" t="s">
        <v>72</v>
      </c>
      <c r="E8" s="77" t="s">
        <v>73</v>
      </c>
      <c r="F8" s="77" t="s">
        <v>74</v>
      </c>
      <c r="G8" s="78" t="s">
        <v>75</v>
      </c>
    </row>
    <row r="9" spans="2:7" ht="13.8" x14ac:dyDescent="0.25">
      <c r="B9" s="79" t="s">
        <v>31</v>
      </c>
      <c r="C9" s="80" t="s">
        <v>30</v>
      </c>
      <c r="D9" s="80"/>
      <c r="E9" s="80" t="s">
        <v>63</v>
      </c>
      <c r="F9" s="80" t="s">
        <v>76</v>
      </c>
      <c r="G9" s="81" t="s">
        <v>77</v>
      </c>
    </row>
    <row r="10" spans="2:7" x14ac:dyDescent="0.25">
      <c r="B10" s="82">
        <v>500</v>
      </c>
      <c r="C10" s="75">
        <v>220</v>
      </c>
      <c r="D10" s="87">
        <f>Factor_z_EOS(B10,C10)</f>
        <v>0.95992</v>
      </c>
      <c r="E10" s="88">
        <f>+vis_EOS(C10,G10)</f>
        <v>1.4124522684196715E-2</v>
      </c>
      <c r="F10" s="88">
        <f>Bg_EOS(D10,C10,B10)</f>
        <v>3.6945400959999999E-2</v>
      </c>
      <c r="G10" s="93">
        <f>Density_EOS(B10,C10,D10)</f>
        <v>1.364316582779161</v>
      </c>
    </row>
    <row r="11" spans="2:7" x14ac:dyDescent="0.25">
      <c r="B11" s="83">
        <v>1000</v>
      </c>
      <c r="C11" s="84">
        <v>220</v>
      </c>
      <c r="D11" s="89">
        <f>Factor_z_EOS(B11,C11)</f>
        <v>0.92932000000000003</v>
      </c>
      <c r="E11" s="90">
        <f>+vis_EOS(C11,G11)</f>
        <v>1.4897983275331685E-2</v>
      </c>
      <c r="F11" s="90">
        <f t="shared" ref="F11:F30" si="0">Bg_EOS(D11,C11,B11)</f>
        <v>1.7883834080000001E-2</v>
      </c>
      <c r="G11" s="94">
        <f t="shared" ref="G11:G30" si="1">Density_EOS(B11,C11,D11)</f>
        <v>2.8184796929827667</v>
      </c>
    </row>
    <row r="12" spans="2:7" x14ac:dyDescent="0.25">
      <c r="B12" s="83">
        <v>1500</v>
      </c>
      <c r="C12" s="84">
        <v>220</v>
      </c>
      <c r="D12" s="89">
        <f t="shared" ref="D12:D30" si="2">Factor_z_EOS(B12,C12)</f>
        <v>0.90902000000000005</v>
      </c>
      <c r="E12" s="90">
        <f>+vis_EOS(C12,G12)</f>
        <v>1.5905175436908957E-2</v>
      </c>
      <c r="F12" s="90">
        <f t="shared" si="0"/>
        <v>1.1662120586666666E-2</v>
      </c>
      <c r="G12" s="94">
        <f>Density_EOS(B12,C12,D12)</f>
        <v>4.3221318809532434</v>
      </c>
    </row>
    <row r="13" spans="2:7" x14ac:dyDescent="0.25">
      <c r="B13" s="83">
        <v>2000</v>
      </c>
      <c r="C13" s="84">
        <v>220</v>
      </c>
      <c r="D13" s="89">
        <f t="shared" si="2"/>
        <v>0.89898</v>
      </c>
      <c r="E13" s="90">
        <f>+vis_EOS(C13,G13)</f>
        <v>1.7113118825496536E-2</v>
      </c>
      <c r="F13" s="90">
        <f t="shared" si="0"/>
        <v>8.6499855600000002E-3</v>
      </c>
      <c r="G13" s="94">
        <f t="shared" si="1"/>
        <v>5.8272031597649443</v>
      </c>
    </row>
    <row r="14" spans="2:7" x14ac:dyDescent="0.25">
      <c r="B14" s="83">
        <v>2500</v>
      </c>
      <c r="C14" s="84">
        <v>220</v>
      </c>
      <c r="D14" s="89">
        <f t="shared" si="2"/>
        <v>0.89834000000000003</v>
      </c>
      <c r="E14" s="90">
        <f t="shared" ref="E14:E30" si="3">+vis_EOS(C14,G14)</f>
        <v>1.8484885927308119E-2</v>
      </c>
      <c r="F14" s="90">
        <f>Bg_EOS(D14,C14,B14)</f>
        <v>6.9150619840000005E-3</v>
      </c>
      <c r="G14" s="94">
        <f t="shared" si="1"/>
        <v>7.2891932572376401</v>
      </c>
    </row>
    <row r="15" spans="2:7" x14ac:dyDescent="0.25">
      <c r="B15" s="83">
        <v>3000</v>
      </c>
      <c r="C15" s="84">
        <v>220</v>
      </c>
      <c r="D15" s="89">
        <f>Factor_z_EOS(B15,C15)</f>
        <v>0.90571999999999997</v>
      </c>
      <c r="E15" s="90">
        <f t="shared" si="3"/>
        <v>1.9980612397682236E-2</v>
      </c>
      <c r="F15" s="90">
        <f>Bg_EOS(D15,C15,B15)</f>
        <v>5.8098918933333328E-3</v>
      </c>
      <c r="G15" s="94">
        <f>Density_EOS(B15,C15,D15)</f>
        <v>8.6757592245376447</v>
      </c>
    </row>
    <row r="16" spans="2:7" x14ac:dyDescent="0.25">
      <c r="B16" s="83">
        <v>3500</v>
      </c>
      <c r="C16" s="84">
        <v>220</v>
      </c>
      <c r="D16" s="89">
        <f t="shared" si="2"/>
        <v>0.91956000000000004</v>
      </c>
      <c r="E16" s="90">
        <f t="shared" si="3"/>
        <v>2.1563370701233712E-2</v>
      </c>
      <c r="F16" s="90">
        <f t="shared" si="0"/>
        <v>5.0560036114285709E-3</v>
      </c>
      <c r="G16" s="94">
        <f t="shared" si="1"/>
        <v>9.9693803764731026</v>
      </c>
    </row>
    <row r="17" spans="2:7" x14ac:dyDescent="0.25">
      <c r="B17" s="83">
        <v>4000</v>
      </c>
      <c r="C17" s="84">
        <v>220</v>
      </c>
      <c r="D17" s="89">
        <f t="shared" si="2"/>
        <v>0.93844000000000005</v>
      </c>
      <c r="E17" s="90">
        <f t="shared" si="3"/>
        <v>2.3202321893809018E-2</v>
      </c>
      <c r="F17" s="90">
        <f t="shared" si="0"/>
        <v>4.5148348399999998E-3</v>
      </c>
      <c r="G17" s="94">
        <f t="shared" si="1"/>
        <v>11.164355945112078</v>
      </c>
    </row>
    <row r="18" spans="2:7" x14ac:dyDescent="0.25">
      <c r="B18" s="83">
        <v>4500</v>
      </c>
      <c r="C18" s="84">
        <v>220</v>
      </c>
      <c r="D18" s="89">
        <f t="shared" si="2"/>
        <v>0.96118000000000003</v>
      </c>
      <c r="E18" s="90">
        <f t="shared" si="3"/>
        <v>2.487365344488127E-2</v>
      </c>
      <c r="F18" s="90">
        <f t="shared" si="0"/>
        <v>4.110432871111111E-3</v>
      </c>
      <c r="G18" s="94">
        <f t="shared" si="1"/>
        <v>12.262753040296667</v>
      </c>
    </row>
    <row r="19" spans="2:7" x14ac:dyDescent="0.25">
      <c r="B19" s="83">
        <v>5000</v>
      </c>
      <c r="C19" s="84">
        <v>220</v>
      </c>
      <c r="D19" s="89">
        <f t="shared" si="2"/>
        <v>0.98685</v>
      </c>
      <c r="E19" s="90">
        <f t="shared" si="3"/>
        <v>2.6559910803918441E-2</v>
      </c>
      <c r="F19" s="90">
        <f t="shared" si="0"/>
        <v>3.7981882799999994E-3</v>
      </c>
      <c r="G19" s="94">
        <f t="shared" si="1"/>
        <v>13.270859544422883</v>
      </c>
    </row>
    <row r="20" spans="2:7" x14ac:dyDescent="0.25">
      <c r="B20" s="83">
        <v>5500</v>
      </c>
      <c r="C20" s="84">
        <v>220</v>
      </c>
      <c r="D20" s="89">
        <f t="shared" si="2"/>
        <v>1.0147299999999999</v>
      </c>
      <c r="E20" s="90">
        <f t="shared" si="3"/>
        <v>2.8248938466059078E-2</v>
      </c>
      <c r="F20" s="90">
        <f t="shared" si="0"/>
        <v>3.5504480218181813E-3</v>
      </c>
      <c r="G20" s="94">
        <f t="shared" si="1"/>
        <v>14.196862727577876</v>
      </c>
    </row>
    <row r="21" spans="2:7" x14ac:dyDescent="0.25">
      <c r="B21" s="83">
        <v>6000</v>
      </c>
      <c r="C21" s="84">
        <v>220</v>
      </c>
      <c r="D21" s="89">
        <f t="shared" si="2"/>
        <v>1.0443</v>
      </c>
      <c r="E21" s="90">
        <f t="shared" si="3"/>
        <v>2.9931722296240238E-2</v>
      </c>
      <c r="F21" s="90">
        <f>Bg_EOS(D21,C21,B21)</f>
        <v>3.3494181999999999E-3</v>
      </c>
      <c r="G21" s="94">
        <f t="shared" si="1"/>
        <v>15.048948855402156</v>
      </c>
    </row>
    <row r="22" spans="2:7" x14ac:dyDescent="0.25">
      <c r="B22" s="83">
        <v>6500</v>
      </c>
      <c r="C22" s="84">
        <v>220</v>
      </c>
      <c r="D22" s="89">
        <f t="shared" si="2"/>
        <v>1.0751500000000001</v>
      </c>
      <c r="E22" s="90">
        <f t="shared" si="3"/>
        <v>3.160254250234782E-2</v>
      </c>
      <c r="F22" s="90">
        <f t="shared" si="0"/>
        <v>3.183105630769231E-3</v>
      </c>
      <c r="G22" s="94">
        <f t="shared" si="1"/>
        <v>15.8352342127497</v>
      </c>
    </row>
    <row r="23" spans="2:7" x14ac:dyDescent="0.25">
      <c r="B23" s="83">
        <v>7000</v>
      </c>
      <c r="C23" s="84">
        <v>220</v>
      </c>
      <c r="D23" s="89">
        <f t="shared" si="2"/>
        <v>1.1069800000000001</v>
      </c>
      <c r="E23" s="90">
        <f t="shared" si="3"/>
        <v>3.3257332494720446E-2</v>
      </c>
      <c r="F23" s="90">
        <f t="shared" si="0"/>
        <v>3.0432461600000005E-3</v>
      </c>
      <c r="G23" s="94">
        <f t="shared" si="1"/>
        <v>16.562979311260559</v>
      </c>
    </row>
    <row r="24" spans="2:7" x14ac:dyDescent="0.25">
      <c r="B24" s="83">
        <v>7500</v>
      </c>
      <c r="C24" s="84">
        <v>220</v>
      </c>
      <c r="D24" s="89">
        <f t="shared" si="2"/>
        <v>1.13958</v>
      </c>
      <c r="E24" s="90">
        <f t="shared" si="3"/>
        <v>3.4892742249052706E-2</v>
      </c>
      <c r="F24" s="90">
        <f t="shared" si="0"/>
        <v>2.9240103359999998E-3</v>
      </c>
      <c r="G24" s="94">
        <f t="shared" si="1"/>
        <v>17.238387486723692</v>
      </c>
    </row>
    <row r="25" spans="2:7" x14ac:dyDescent="0.25">
      <c r="B25" s="83">
        <v>8000</v>
      </c>
      <c r="C25" s="84">
        <v>220</v>
      </c>
      <c r="D25" s="89">
        <f t="shared" si="2"/>
        <v>1.17275</v>
      </c>
      <c r="E25" s="90">
        <f t="shared" si="3"/>
        <v>3.6507983148779788E-2</v>
      </c>
      <c r="F25" s="90">
        <f t="shared" si="0"/>
        <v>2.8210501249999998E-3</v>
      </c>
      <c r="G25" s="94">
        <f t="shared" si="1"/>
        <v>17.867539020474915</v>
      </c>
    </row>
    <row r="26" spans="2:7" x14ac:dyDescent="0.25">
      <c r="B26" s="83"/>
      <c r="C26" s="84"/>
      <c r="D26" s="89" t="str">
        <f t="shared" si="2"/>
        <v>--</v>
      </c>
      <c r="E26" s="90" t="str">
        <f t="shared" si="3"/>
        <v>--</v>
      </c>
      <c r="F26" s="90" t="str">
        <f t="shared" si="0"/>
        <v>--</v>
      </c>
      <c r="G26" s="94" t="str">
        <f t="shared" si="1"/>
        <v>--</v>
      </c>
    </row>
    <row r="27" spans="2:7" x14ac:dyDescent="0.25">
      <c r="B27" s="83"/>
      <c r="C27" s="84"/>
      <c r="D27" s="89" t="str">
        <f t="shared" si="2"/>
        <v>--</v>
      </c>
      <c r="E27" s="90" t="str">
        <f t="shared" si="3"/>
        <v>--</v>
      </c>
      <c r="F27" s="90" t="str">
        <f t="shared" si="0"/>
        <v>--</v>
      </c>
      <c r="G27" s="94" t="str">
        <f t="shared" si="1"/>
        <v>--</v>
      </c>
    </row>
    <row r="28" spans="2:7" x14ac:dyDescent="0.25">
      <c r="B28" s="83"/>
      <c r="C28" s="84"/>
      <c r="D28" s="89" t="str">
        <f t="shared" si="2"/>
        <v>--</v>
      </c>
      <c r="E28" s="90" t="str">
        <f t="shared" si="3"/>
        <v>--</v>
      </c>
      <c r="F28" s="90" t="str">
        <f t="shared" si="0"/>
        <v>--</v>
      </c>
      <c r="G28" s="94" t="str">
        <f t="shared" si="1"/>
        <v>--</v>
      </c>
    </row>
    <row r="29" spans="2:7" x14ac:dyDescent="0.25">
      <c r="B29" s="83"/>
      <c r="C29" s="84"/>
      <c r="D29" s="89" t="str">
        <f t="shared" si="2"/>
        <v>--</v>
      </c>
      <c r="E29" s="90" t="str">
        <f t="shared" si="3"/>
        <v>--</v>
      </c>
      <c r="F29" s="90" t="str">
        <f t="shared" si="0"/>
        <v>--</v>
      </c>
      <c r="G29" s="94" t="str">
        <f t="shared" si="1"/>
        <v>--</v>
      </c>
    </row>
    <row r="30" spans="2:7" x14ac:dyDescent="0.25">
      <c r="B30" s="85"/>
      <c r="C30" s="86"/>
      <c r="D30" s="91" t="str">
        <f t="shared" si="2"/>
        <v>--</v>
      </c>
      <c r="E30" s="92" t="str">
        <f t="shared" si="3"/>
        <v>--</v>
      </c>
      <c r="F30" s="92" t="str">
        <f t="shared" si="0"/>
        <v>--</v>
      </c>
      <c r="G30" s="95" t="str">
        <f t="shared" si="1"/>
        <v>--</v>
      </c>
    </row>
    <row r="32" spans="2:7" x14ac:dyDescent="0.25">
      <c r="F32" s="7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M39"/>
  <sheetViews>
    <sheetView showGridLines="0" zoomScale="90" zoomScaleNormal="90" workbookViewId="0">
      <selection activeCell="K39" sqref="K39"/>
    </sheetView>
  </sheetViews>
  <sheetFormatPr defaultRowHeight="12" x14ac:dyDescent="0.25"/>
  <cols>
    <col min="1" max="1" width="2" style="44" customWidth="1"/>
    <col min="2" max="2" width="15.75" style="44" customWidth="1"/>
    <col min="3" max="3" width="11.625" style="44" customWidth="1"/>
    <col min="4" max="4" width="8.125" style="44" customWidth="1"/>
    <col min="5" max="5" width="2" style="44" customWidth="1"/>
    <col min="6" max="6" width="17.75" style="44" customWidth="1"/>
    <col min="7" max="7" width="11.625" style="44" customWidth="1"/>
    <col min="8" max="8" width="8.125" style="44" customWidth="1"/>
    <col min="9" max="9" width="2.375" style="44" customWidth="1"/>
    <col min="10" max="25" width="13.75" style="44" customWidth="1"/>
    <col min="26" max="26" width="3" style="44" customWidth="1"/>
    <col min="27" max="27" width="9" style="44"/>
    <col min="28" max="33" width="10.625" style="44" customWidth="1"/>
    <col min="34" max="16384" width="9" style="44"/>
  </cols>
  <sheetData>
    <row r="1" spans="2:39" ht="11.4" customHeight="1" x14ac:dyDescent="0.25">
      <c r="G1" s="131"/>
      <c r="H1" s="131"/>
      <c r="AA1" s="132" t="s">
        <v>89</v>
      </c>
      <c r="AB1" s="44" t="s">
        <v>79</v>
      </c>
    </row>
    <row r="2" spans="2:39" ht="11.4" customHeight="1" x14ac:dyDescent="0.25">
      <c r="AA2" s="132" t="s">
        <v>90</v>
      </c>
      <c r="AB2" s="44" t="s">
        <v>80</v>
      </c>
    </row>
    <row r="3" spans="2:39" ht="11.4" customHeight="1" x14ac:dyDescent="0.35">
      <c r="B3" s="172"/>
      <c r="C3" s="301">
        <v>0.68</v>
      </c>
      <c r="D3" s="173"/>
      <c r="F3" s="163" t="s">
        <v>2</v>
      </c>
      <c r="G3" s="164" t="s">
        <v>35</v>
      </c>
      <c r="H3" s="165">
        <v>0.03</v>
      </c>
      <c r="AA3" s="132" t="s">
        <v>91</v>
      </c>
      <c r="AB3" s="44" t="s">
        <v>81</v>
      </c>
    </row>
    <row r="4" spans="2:39" ht="11.4" customHeight="1" x14ac:dyDescent="0.35">
      <c r="B4" s="174"/>
      <c r="C4" s="302"/>
      <c r="D4" s="175"/>
      <c r="F4" s="166" t="s">
        <v>3</v>
      </c>
      <c r="G4" s="167" t="s">
        <v>36</v>
      </c>
      <c r="H4" s="168">
        <v>0.02</v>
      </c>
      <c r="AA4" s="132" t="s">
        <v>92</v>
      </c>
      <c r="AB4" s="44" t="s">
        <v>82</v>
      </c>
    </row>
    <row r="5" spans="2:39" ht="11.4" customHeight="1" x14ac:dyDescent="0.35">
      <c r="B5" s="176"/>
      <c r="C5" s="303"/>
      <c r="D5" s="177"/>
      <c r="F5" s="169" t="s">
        <v>4</v>
      </c>
      <c r="G5" s="170" t="s">
        <v>37</v>
      </c>
      <c r="H5" s="171">
        <v>0</v>
      </c>
      <c r="AA5" s="132" t="s">
        <v>93</v>
      </c>
      <c r="AB5" s="44" t="s">
        <v>83</v>
      </c>
    </row>
    <row r="6" spans="2:39" ht="11.4" customHeight="1" x14ac:dyDescent="0.25">
      <c r="AA6" s="132" t="s">
        <v>94</v>
      </c>
      <c r="AB6" s="44" t="s">
        <v>84</v>
      </c>
    </row>
    <row r="7" spans="2:39" ht="11.4" customHeight="1" x14ac:dyDescent="0.25"/>
    <row r="8" spans="2:39" ht="11.4" customHeight="1" x14ac:dyDescent="0.25">
      <c r="B8" s="178" t="s">
        <v>79</v>
      </c>
      <c r="F8" s="178" t="s">
        <v>84</v>
      </c>
      <c r="G8" s="124"/>
      <c r="H8" s="130"/>
      <c r="AB8" s="121" t="s">
        <v>88</v>
      </c>
      <c r="AH8" s="121" t="s">
        <v>95</v>
      </c>
    </row>
    <row r="9" spans="2:39" ht="13.8" customHeight="1" x14ac:dyDescent="0.35">
      <c r="B9" s="105" t="s">
        <v>85</v>
      </c>
      <c r="C9" s="122">
        <f>+Calc_Press_pc_SGg(1,$C$3,$H$3,$H$4,$H$5)</f>
        <v>665.71136000000001</v>
      </c>
      <c r="D9" s="125" t="s">
        <v>31</v>
      </c>
      <c r="F9" s="105" t="s">
        <v>85</v>
      </c>
      <c r="G9" s="122">
        <f>+Calc_Press_pc_SGg(6,$C$3,$H$3,$H$4,$H$5)</f>
        <v>669.67576000000008</v>
      </c>
      <c r="H9" s="125" t="s">
        <v>31</v>
      </c>
      <c r="AA9" s="133" t="s">
        <v>87</v>
      </c>
      <c r="AB9" s="145" t="s">
        <v>89</v>
      </c>
      <c r="AC9" s="143" t="s">
        <v>90</v>
      </c>
      <c r="AD9" s="143" t="s">
        <v>91</v>
      </c>
      <c r="AE9" s="143" t="s">
        <v>92</v>
      </c>
      <c r="AF9" s="143" t="s">
        <v>93</v>
      </c>
      <c r="AG9" s="144" t="s">
        <v>94</v>
      </c>
      <c r="AH9" s="149" t="s">
        <v>89</v>
      </c>
      <c r="AI9" s="150" t="s">
        <v>90</v>
      </c>
      <c r="AJ9" s="150" t="s">
        <v>91</v>
      </c>
      <c r="AK9" s="150" t="s">
        <v>92</v>
      </c>
      <c r="AL9" s="150" t="s">
        <v>93</v>
      </c>
      <c r="AM9" s="151" t="s">
        <v>94</v>
      </c>
    </row>
    <row r="10" spans="2:39" ht="13.8" customHeight="1" x14ac:dyDescent="0.35">
      <c r="B10" s="128" t="s">
        <v>86</v>
      </c>
      <c r="C10" s="123">
        <f>Calc_TEMPERATURE_pc_SGg(1,$C$3,$H$3,$H$4,$H$5)</f>
        <v>378.33840000000004</v>
      </c>
      <c r="D10" s="129" t="s">
        <v>68</v>
      </c>
      <c r="F10" s="128" t="s">
        <v>86</v>
      </c>
      <c r="G10" s="123">
        <f>Calc_TEMPERATURE_pc_SGg(6,$C$3,$H$3,$H$4,$H$5)</f>
        <v>379.48492000000005</v>
      </c>
      <c r="H10" s="129" t="s">
        <v>68</v>
      </c>
      <c r="AA10" s="134">
        <v>0.5</v>
      </c>
      <c r="AB10" s="146">
        <f t="shared" ref="AB10:AB20" si="0">Calc_Press_pc_SGg(1,$AA10,$H$3,$H$4,$H$5)</f>
        <v>677.375</v>
      </c>
      <c r="AC10" s="135">
        <f t="shared" ref="AC10:AC20" si="1">Calc_Press_pc_SGg(2,$AA10,$H$3,$H$4,$H$5)</f>
        <v>690.4</v>
      </c>
      <c r="AD10" s="135">
        <f t="shared" ref="AD10:AD20" si="2">Calc_Press_pc_SGg(3,$AA10,$H$3,$H$4,$H$5)</f>
        <v>703.33399999999995</v>
      </c>
      <c r="AE10" s="135">
        <f t="shared" ref="AE10:AE20" si="3">Calc_Press_pc_SGg(4,$AA10,$H$3,$H$4,$H$5)</f>
        <v>726.90823063503365</v>
      </c>
      <c r="AF10" s="135">
        <f t="shared" ref="AF10:AF20" si="4">Calc_Press_pc_SGg(5,$AA10,$H$3,$H$4,$H$5)</f>
        <v>711.41099999999994</v>
      </c>
      <c r="AG10" s="136">
        <f t="shared" ref="AG10:AG20" si="5">Calc_Press_pc_SGg(6,$AA10,$H$3,$H$4,$H$5)</f>
        <v>680.245</v>
      </c>
      <c r="AH10" s="146">
        <f t="shared" ref="AH10:AH20" si="6">Calc_TEMPERATURE_pc_SGg(1,$AA10,$H$3,$H$4,$H$5)</f>
        <v>334.125</v>
      </c>
      <c r="AI10" s="135">
        <f t="shared" ref="AI10:AI20" si="7">Calc_TEMPERATURE_pc_SGg(2,$AA10,$H$3,$H$4,$H$5)</f>
        <v>325.45</v>
      </c>
      <c r="AJ10" s="135">
        <f t="shared" ref="AJ10:AJ20" si="8">Calc_TEMPERATURE_pc_SGg(3,$AA10,$H$3,$H$4,$H$5)</f>
        <v>331.16500000000002</v>
      </c>
      <c r="AK10" s="135">
        <f t="shared" ref="AK10:AK20" si="9">Calc_TEMPERATURE_pc_SGg(4,$AA10,$H$3,$H$4,$H$5)</f>
        <v>311.29463350124234</v>
      </c>
      <c r="AL10" s="135">
        <f t="shared" ref="AL10:AL20" si="10">Calc_TEMPERATURE_pc_SGg(5,$AA10,$H$3,$H$4,$H$5)</f>
        <v>311.50599999999997</v>
      </c>
      <c r="AM10" s="136">
        <f t="shared" ref="AM10:AM20" si="11">Calc_TEMPERATURE_pc_SGg(6,$AA10,$H$3,$H$4,$H$5)</f>
        <v>324.16300000000001</v>
      </c>
    </row>
    <row r="11" spans="2:39" ht="13.8" customHeight="1" x14ac:dyDescent="0.35">
      <c r="B11" s="157" t="s">
        <v>97</v>
      </c>
      <c r="C11" s="158">
        <f>+(C9*C12)/(C10+$C$30*(1-$C$30)*$C$31)</f>
        <v>649.17328310855271</v>
      </c>
      <c r="D11" s="159" t="s">
        <v>31</v>
      </c>
      <c r="F11" s="157" t="s">
        <v>97</v>
      </c>
      <c r="G11" s="158">
        <f>+(G9*G12)/(G10+$C$30*(1-$C$30)*$C$31)</f>
        <v>653.08943599124689</v>
      </c>
      <c r="H11" s="159" t="s">
        <v>31</v>
      </c>
      <c r="AA11" s="137">
        <v>0.55000000000000004</v>
      </c>
      <c r="AB11" s="147">
        <f t="shared" si="0"/>
        <v>674.20725000000004</v>
      </c>
      <c r="AC11" s="138">
        <f t="shared" si="1"/>
        <v>683.66099999999994</v>
      </c>
      <c r="AD11" s="138">
        <f t="shared" si="2"/>
        <v>700.83399999999995</v>
      </c>
      <c r="AE11" s="138">
        <f t="shared" si="3"/>
        <v>714.03999145720491</v>
      </c>
      <c r="AF11" s="138">
        <f t="shared" si="4"/>
        <v>703.62840999999992</v>
      </c>
      <c r="AG11" s="139">
        <f t="shared" si="5"/>
        <v>677.30910000000006</v>
      </c>
      <c r="AH11" s="147">
        <f t="shared" si="6"/>
        <v>346.87125000000003</v>
      </c>
      <c r="AI11" s="138">
        <f t="shared" si="7"/>
        <v>339.04</v>
      </c>
      <c r="AJ11" s="138">
        <f t="shared" si="8"/>
        <v>346.95</v>
      </c>
      <c r="AK11" s="138">
        <f t="shared" si="9"/>
        <v>327.30943967536041</v>
      </c>
      <c r="AL11" s="138">
        <f t="shared" si="10"/>
        <v>325.89676000000003</v>
      </c>
      <c r="AM11" s="139">
        <f t="shared" si="11"/>
        <v>339.53020000000004</v>
      </c>
    </row>
    <row r="12" spans="2:39" ht="13.8" customHeight="1" x14ac:dyDescent="0.35">
      <c r="B12" s="160" t="s">
        <v>98</v>
      </c>
      <c r="C12" s="161">
        <f>+C10-$C$31</f>
        <v>369.11572117560098</v>
      </c>
      <c r="D12" s="162" t="s">
        <v>68</v>
      </c>
      <c r="F12" s="160" t="s">
        <v>98</v>
      </c>
      <c r="G12" s="161">
        <f>+G10-$C$31</f>
        <v>370.26224117560099</v>
      </c>
      <c r="H12" s="162" t="s">
        <v>68</v>
      </c>
      <c r="AA12" s="137">
        <v>0.6</v>
      </c>
      <c r="AB12" s="147">
        <f t="shared" si="0"/>
        <v>670.98400000000004</v>
      </c>
      <c r="AC12" s="138">
        <f t="shared" si="1"/>
        <v>676.904</v>
      </c>
      <c r="AD12" s="138">
        <f t="shared" si="2"/>
        <v>698.33399999999995</v>
      </c>
      <c r="AE12" s="138">
        <f t="shared" si="3"/>
        <v>702.53721835065039</v>
      </c>
      <c r="AF12" s="138">
        <f t="shared" si="4"/>
        <v>695.80624</v>
      </c>
      <c r="AG12" s="139">
        <f t="shared" si="5"/>
        <v>674.3732</v>
      </c>
      <c r="AH12" s="147">
        <f t="shared" si="6"/>
        <v>359.26</v>
      </c>
      <c r="AI12" s="138">
        <f t="shared" si="7"/>
        <v>352.26</v>
      </c>
      <c r="AJ12" s="138">
        <f t="shared" si="8"/>
        <v>362.73500000000001</v>
      </c>
      <c r="AK12" s="138">
        <f t="shared" si="9"/>
        <v>342.86632024682882</v>
      </c>
      <c r="AL12" s="138">
        <f t="shared" si="10"/>
        <v>339.95263999999997</v>
      </c>
      <c r="AM12" s="139">
        <f t="shared" si="11"/>
        <v>354.8974</v>
      </c>
    </row>
    <row r="13" spans="2:39" ht="13.8" customHeight="1" x14ac:dyDescent="0.25">
      <c r="B13" s="127"/>
      <c r="C13" s="124"/>
      <c r="D13" s="130"/>
      <c r="F13" s="127"/>
      <c r="G13" s="124"/>
      <c r="H13" s="130"/>
      <c r="AA13" s="137">
        <v>0.65</v>
      </c>
      <c r="AB13" s="147">
        <f t="shared" si="0"/>
        <v>667.70524999999998</v>
      </c>
      <c r="AC13" s="138">
        <f t="shared" si="1"/>
        <v>670.12899999999991</v>
      </c>
      <c r="AD13" s="138">
        <f t="shared" si="2"/>
        <v>695.83399999999995</v>
      </c>
      <c r="AE13" s="138">
        <f t="shared" si="3"/>
        <v>692.12294189939803</v>
      </c>
      <c r="AF13" s="138">
        <f t="shared" si="4"/>
        <v>687.94448999999997</v>
      </c>
      <c r="AG13" s="139">
        <f t="shared" si="5"/>
        <v>671.43730000000005</v>
      </c>
      <c r="AH13" s="147">
        <f t="shared" si="6"/>
        <v>371.29124999999999</v>
      </c>
      <c r="AI13" s="138">
        <f t="shared" si="7"/>
        <v>365.11</v>
      </c>
      <c r="AJ13" s="138">
        <f t="shared" si="8"/>
        <v>378.52</v>
      </c>
      <c r="AK13" s="138">
        <f t="shared" si="9"/>
        <v>357.96063370972036</v>
      </c>
      <c r="AL13" s="138">
        <f t="shared" si="10"/>
        <v>353.67363999999998</v>
      </c>
      <c r="AM13" s="139">
        <f t="shared" si="11"/>
        <v>370.26460000000003</v>
      </c>
    </row>
    <row r="14" spans="2:39" ht="13.8" customHeight="1" x14ac:dyDescent="0.25">
      <c r="B14" s="178" t="s">
        <v>80</v>
      </c>
      <c r="C14" s="124"/>
      <c r="D14" s="130"/>
      <c r="F14" s="178" t="s">
        <v>83</v>
      </c>
      <c r="G14" s="124"/>
      <c r="H14" s="130"/>
      <c r="AA14" s="137">
        <v>0.7</v>
      </c>
      <c r="AB14" s="147">
        <f t="shared" si="0"/>
        <v>664.37099999999998</v>
      </c>
      <c r="AC14" s="138">
        <f t="shared" si="1"/>
        <v>663.33600000000001</v>
      </c>
      <c r="AD14" s="138">
        <f t="shared" si="2"/>
        <v>693.33399999999995</v>
      </c>
      <c r="AE14" s="138">
        <f t="shared" si="3"/>
        <v>682.58823161129681</v>
      </c>
      <c r="AF14" s="138">
        <f t="shared" si="4"/>
        <v>680.04315999999994</v>
      </c>
      <c r="AG14" s="139">
        <f t="shared" si="5"/>
        <v>668.50139999999999</v>
      </c>
      <c r="AH14" s="147">
        <f t="shared" si="6"/>
        <v>382.96499999999997</v>
      </c>
      <c r="AI14" s="138">
        <f t="shared" si="7"/>
        <v>377.59</v>
      </c>
      <c r="AJ14" s="138">
        <f t="shared" si="8"/>
        <v>394.30500000000001</v>
      </c>
      <c r="AK14" s="138">
        <f t="shared" si="9"/>
        <v>372.58905927680041</v>
      </c>
      <c r="AL14" s="138">
        <f t="shared" si="10"/>
        <v>367.05975999999998</v>
      </c>
      <c r="AM14" s="139">
        <f t="shared" si="11"/>
        <v>385.6318</v>
      </c>
    </row>
    <row r="15" spans="2:39" ht="13.8" customHeight="1" x14ac:dyDescent="0.35">
      <c r="B15" s="105" t="s">
        <v>85</v>
      </c>
      <c r="C15" s="122">
        <f>+Calc_Press_pc_SGg(2,$C$3,$H$3,$H$4,$H$5)</f>
        <v>666.05535999999995</v>
      </c>
      <c r="D15" s="125" t="s">
        <v>31</v>
      </c>
      <c r="F15" s="105" t="s">
        <v>85</v>
      </c>
      <c r="G15" s="122">
        <f>+Calc_Press_pc_SGg(5,$C$3,$H$3,$H$4,$H$5)</f>
        <v>683.2084415999999</v>
      </c>
      <c r="H15" s="125" t="s">
        <v>31</v>
      </c>
      <c r="AA15" s="137">
        <v>0.75</v>
      </c>
      <c r="AB15" s="147">
        <f t="shared" si="0"/>
        <v>660.98125000000005</v>
      </c>
      <c r="AC15" s="138">
        <f t="shared" si="1"/>
        <v>656.52499999999998</v>
      </c>
      <c r="AD15" s="138">
        <f t="shared" si="2"/>
        <v>690.83399999999995</v>
      </c>
      <c r="AE15" s="138">
        <f t="shared" si="3"/>
        <v>673.77247503139438</v>
      </c>
      <c r="AF15" s="138">
        <f t="shared" si="4"/>
        <v>672.10224999999991</v>
      </c>
      <c r="AG15" s="139">
        <f t="shared" si="5"/>
        <v>665.56550000000004</v>
      </c>
      <c r="AH15" s="147">
        <f t="shared" si="6"/>
        <v>394.28125</v>
      </c>
      <c r="AI15" s="138">
        <f t="shared" si="7"/>
        <v>389.7</v>
      </c>
      <c r="AJ15" s="138">
        <f t="shared" si="8"/>
        <v>410.09</v>
      </c>
      <c r="AK15" s="138">
        <f t="shared" si="9"/>
        <v>386.74923274897213</v>
      </c>
      <c r="AL15" s="138">
        <f t="shared" si="10"/>
        <v>380.11099999999999</v>
      </c>
      <c r="AM15" s="139">
        <f t="shared" si="11"/>
        <v>400.99900000000002</v>
      </c>
    </row>
    <row r="16" spans="2:39" ht="13.8" customHeight="1" x14ac:dyDescent="0.35">
      <c r="B16" s="128" t="s">
        <v>86</v>
      </c>
      <c r="C16" s="123">
        <f>Calc_TEMPERATURE_pc_SGg(2,$C$3,$H$3,$H$4,$H$5)</f>
        <v>372.64240000000001</v>
      </c>
      <c r="D16" s="129" t="s">
        <v>68</v>
      </c>
      <c r="F16" s="128" t="s">
        <v>86</v>
      </c>
      <c r="G16" s="123">
        <f>Calc_TEMPERATURE_pc_SGg(5,$C$3,$H$3,$H$4,$H$5)</f>
        <v>361.74549760000002</v>
      </c>
      <c r="H16" s="129" t="s">
        <v>68</v>
      </c>
      <c r="AA16" s="137">
        <v>0.8</v>
      </c>
      <c r="AB16" s="147">
        <f t="shared" si="0"/>
        <v>657.53599999999994</v>
      </c>
      <c r="AC16" s="138">
        <f t="shared" si="1"/>
        <v>649.69599999999991</v>
      </c>
      <c r="AD16" s="138">
        <f t="shared" si="2"/>
        <v>688.33399999999995</v>
      </c>
      <c r="AE16" s="138">
        <f t="shared" si="3"/>
        <v>665.55013393895717</v>
      </c>
      <c r="AF16" s="138">
        <f t="shared" si="4"/>
        <v>664.12175999999988</v>
      </c>
      <c r="AG16" s="139">
        <f t="shared" si="5"/>
        <v>662.62959999999998</v>
      </c>
      <c r="AH16" s="147">
        <f t="shared" si="6"/>
        <v>405.24</v>
      </c>
      <c r="AI16" s="138">
        <f t="shared" si="7"/>
        <v>401.44</v>
      </c>
      <c r="AJ16" s="138">
        <f t="shared" si="8"/>
        <v>425.875</v>
      </c>
      <c r="AK16" s="138">
        <f t="shared" si="9"/>
        <v>400.43949919263986</v>
      </c>
      <c r="AL16" s="138">
        <f t="shared" si="10"/>
        <v>392.82736</v>
      </c>
      <c r="AM16" s="139">
        <f t="shared" si="11"/>
        <v>416.36620000000005</v>
      </c>
    </row>
    <row r="17" spans="2:39" ht="13.8" customHeight="1" x14ac:dyDescent="0.35">
      <c r="B17" s="157" t="s">
        <v>97</v>
      </c>
      <c r="C17" s="158">
        <f>+(C15*C18)/(C16+$C$30*(1-$C$30)*$C$31)</f>
        <v>649.2559375706262</v>
      </c>
      <c r="D17" s="159" t="s">
        <v>31</v>
      </c>
      <c r="F17" s="157" t="s">
        <v>97</v>
      </c>
      <c r="G17" s="158">
        <f>+(G15*G18)/(G16+$C$30*(1-$C$30)*$C$31)</f>
        <v>665.45755547927672</v>
      </c>
      <c r="H17" s="159" t="s">
        <v>31</v>
      </c>
      <c r="AA17" s="137">
        <v>0.85</v>
      </c>
      <c r="AB17" s="147">
        <f t="shared" si="0"/>
        <v>654.03525000000002</v>
      </c>
      <c r="AC17" s="138">
        <f t="shared" si="1"/>
        <v>642.84899999999993</v>
      </c>
      <c r="AD17" s="138">
        <f t="shared" si="2"/>
        <v>685.83399999999995</v>
      </c>
      <c r="AE17" s="138">
        <f t="shared" si="3"/>
        <v>657.82162596203329</v>
      </c>
      <c r="AF17" s="138">
        <f t="shared" si="4"/>
        <v>656.10168999999996</v>
      </c>
      <c r="AG17" s="139">
        <f t="shared" si="5"/>
        <v>659.69370000000004</v>
      </c>
      <c r="AH17" s="147">
        <f t="shared" si="6"/>
        <v>415.84125</v>
      </c>
      <c r="AI17" s="138">
        <f t="shared" si="7"/>
        <v>412.81</v>
      </c>
      <c r="AJ17" s="138">
        <f t="shared" si="8"/>
        <v>441.65999999999997</v>
      </c>
      <c r="AK17" s="138">
        <f t="shared" si="9"/>
        <v>413.65874106045362</v>
      </c>
      <c r="AL17" s="138">
        <f t="shared" si="10"/>
        <v>405.20884000000001</v>
      </c>
      <c r="AM17" s="139">
        <f t="shared" si="11"/>
        <v>431.73340000000002</v>
      </c>
    </row>
    <row r="18" spans="2:39" ht="13.8" customHeight="1" x14ac:dyDescent="0.35">
      <c r="B18" s="160" t="s">
        <v>98</v>
      </c>
      <c r="C18" s="161">
        <f>+C16-$C$31</f>
        <v>363.41972117560096</v>
      </c>
      <c r="D18" s="162" t="s">
        <v>68</v>
      </c>
      <c r="F18" s="160" t="s">
        <v>98</v>
      </c>
      <c r="G18" s="161">
        <f>+G16-$C$31</f>
        <v>352.52281877560097</v>
      </c>
      <c r="H18" s="162" t="s">
        <v>68</v>
      </c>
      <c r="AA18" s="137">
        <v>0.9</v>
      </c>
      <c r="AB18" s="147">
        <f t="shared" si="0"/>
        <v>650.47900000000004</v>
      </c>
      <c r="AC18" s="138">
        <f t="shared" si="1"/>
        <v>635.98399999999992</v>
      </c>
      <c r="AD18" s="138">
        <f t="shared" si="2"/>
        <v>683.33399999999995</v>
      </c>
      <c r="AE18" s="138">
        <f t="shared" si="3"/>
        <v>650.50690713796052</v>
      </c>
      <c r="AF18" s="138">
        <f t="shared" si="4"/>
        <v>648.04203999999993</v>
      </c>
      <c r="AG18" s="139">
        <f t="shared" si="5"/>
        <v>656.75780000000009</v>
      </c>
      <c r="AH18" s="147">
        <f t="shared" si="6"/>
        <v>426.08499999999998</v>
      </c>
      <c r="AI18" s="138">
        <f t="shared" si="7"/>
        <v>423.81</v>
      </c>
      <c r="AJ18" s="138">
        <f t="shared" si="8"/>
        <v>457.44499999999999</v>
      </c>
      <c r="AK18" s="138">
        <f t="shared" si="9"/>
        <v>426.40625633308895</v>
      </c>
      <c r="AL18" s="138">
        <f t="shared" si="10"/>
        <v>417.25544000000002</v>
      </c>
      <c r="AM18" s="139">
        <f t="shared" si="11"/>
        <v>447.10060000000004</v>
      </c>
    </row>
    <row r="19" spans="2:39" ht="13.8" customHeight="1" x14ac:dyDescent="0.25">
      <c r="B19" s="127"/>
      <c r="C19" s="124"/>
      <c r="D19" s="130"/>
      <c r="F19" s="127"/>
      <c r="G19" s="124"/>
      <c r="H19" s="130"/>
      <c r="AA19" s="137">
        <v>0.95</v>
      </c>
      <c r="AB19" s="147">
        <f t="shared" si="0"/>
        <v>646.86725000000001</v>
      </c>
      <c r="AC19" s="138">
        <f t="shared" si="1"/>
        <v>629.101</v>
      </c>
      <c r="AD19" s="138">
        <f t="shared" si="2"/>
        <v>680.83399999999995</v>
      </c>
      <c r="AE19" s="138">
        <f t="shared" si="3"/>
        <v>643.54086637874786</v>
      </c>
      <c r="AF19" s="138">
        <f t="shared" si="4"/>
        <v>639.94280999999989</v>
      </c>
      <c r="AG19" s="139">
        <f t="shared" si="5"/>
        <v>653.82190000000003</v>
      </c>
      <c r="AH19" s="147">
        <f t="shared" si="6"/>
        <v>435.97125</v>
      </c>
      <c r="AI19" s="138">
        <f t="shared" si="7"/>
        <v>434.44</v>
      </c>
      <c r="AJ19" s="138">
        <f t="shared" si="8"/>
        <v>473.22999999999996</v>
      </c>
      <c r="AK19" s="138">
        <f t="shared" si="9"/>
        <v>438.68167060783128</v>
      </c>
      <c r="AL19" s="138">
        <f t="shared" si="10"/>
        <v>428.96715999999998</v>
      </c>
      <c r="AM19" s="139">
        <f t="shared" si="11"/>
        <v>462.46780000000001</v>
      </c>
    </row>
    <row r="20" spans="2:39" ht="13.8" customHeight="1" x14ac:dyDescent="0.25">
      <c r="B20" s="126" t="s">
        <v>81</v>
      </c>
      <c r="C20" s="124"/>
      <c r="D20" s="130"/>
      <c r="F20" s="126" t="s">
        <v>82</v>
      </c>
      <c r="AA20" s="140">
        <v>1</v>
      </c>
      <c r="AB20" s="148">
        <f t="shared" si="0"/>
        <v>643.20000000000005</v>
      </c>
      <c r="AC20" s="141">
        <f t="shared" si="1"/>
        <v>622.19999999999993</v>
      </c>
      <c r="AD20" s="141">
        <f t="shared" si="2"/>
        <v>678.33399999999995</v>
      </c>
      <c r="AE20" s="141">
        <f t="shared" si="3"/>
        <v>636.86996207092034</v>
      </c>
      <c r="AF20" s="141">
        <f t="shared" si="4"/>
        <v>631.80399999999997</v>
      </c>
      <c r="AG20" s="142">
        <f t="shared" si="5"/>
        <v>650.88600000000008</v>
      </c>
      <c r="AH20" s="148">
        <f t="shared" si="6"/>
        <v>445.5</v>
      </c>
      <c r="AI20" s="141">
        <f t="shared" si="7"/>
        <v>444.7</v>
      </c>
      <c r="AJ20" s="141">
        <f t="shared" si="8"/>
        <v>489.01499999999999</v>
      </c>
      <c r="AK20" s="141">
        <f t="shared" si="9"/>
        <v>450.48487271116892</v>
      </c>
      <c r="AL20" s="141">
        <f t="shared" si="10"/>
        <v>440.34399999999999</v>
      </c>
      <c r="AM20" s="142">
        <f t="shared" si="11"/>
        <v>477.83500000000004</v>
      </c>
    </row>
    <row r="21" spans="2:39" ht="13.8" customHeight="1" x14ac:dyDescent="0.35">
      <c r="B21" s="105" t="s">
        <v>85</v>
      </c>
      <c r="C21" s="122">
        <f>+Calc_Press_pc_SGg(3,$C$3,$H$3,$H$4,$H$5)</f>
        <v>694.33399999999995</v>
      </c>
      <c r="D21" s="125" t="s">
        <v>31</v>
      </c>
      <c r="F21" s="105" t="s">
        <v>85</v>
      </c>
      <c r="G21" s="122">
        <f>+Calc_Press_pc_SGg(4,$C$3,$H$3,$H$4,$H$5)</f>
        <v>686.30775170669324</v>
      </c>
      <c r="H21" s="125" t="s">
        <v>31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</row>
    <row r="22" spans="2:39" ht="13.8" customHeight="1" x14ac:dyDescent="0.35">
      <c r="B22" s="128" t="s">
        <v>86</v>
      </c>
      <c r="C22" s="123">
        <f>Calc_TEMPERATURE_pc_SGg(3,$C$3,$H$3,$H$4,$H$5)</f>
        <v>387.99099999999999</v>
      </c>
      <c r="D22" s="129" t="s">
        <v>68</v>
      </c>
      <c r="F22" s="128" t="s">
        <v>86</v>
      </c>
      <c r="G22" s="123">
        <f>Calc_TEMPERATURE_pc_SGg(4,$C$3,$H$3,$H$4,$H$5)</f>
        <v>366.79376502845452</v>
      </c>
      <c r="H22" s="129" t="s">
        <v>68</v>
      </c>
      <c r="Z22"/>
      <c r="AA22" s="296" t="s">
        <v>99</v>
      </c>
      <c r="AB22" s="297"/>
      <c r="AC22" s="297"/>
      <c r="AD22" s="297"/>
      <c r="AE22" s="297"/>
      <c r="AF22" s="297"/>
      <c r="AG22" s="297"/>
      <c r="AH22" s="297"/>
      <c r="AI22" s="297"/>
      <c r="AJ22" s="297"/>
      <c r="AK22" s="297"/>
      <c r="AL22" s="297"/>
      <c r="AM22" s="298"/>
    </row>
    <row r="23" spans="2:39" x14ac:dyDescent="0.25">
      <c r="E23"/>
      <c r="F23"/>
      <c r="G23"/>
      <c r="H23"/>
      <c r="Z23"/>
      <c r="AA23" s="299" t="s">
        <v>87</v>
      </c>
      <c r="AB23" s="179" t="s">
        <v>88</v>
      </c>
      <c r="AC23" s="180"/>
      <c r="AD23" s="180"/>
      <c r="AE23" s="180"/>
      <c r="AF23" s="180"/>
      <c r="AG23" s="181"/>
      <c r="AH23" s="179" t="s">
        <v>95</v>
      </c>
      <c r="AI23" s="180"/>
      <c r="AJ23" s="180"/>
      <c r="AK23" s="180"/>
      <c r="AL23" s="180"/>
      <c r="AM23" s="181"/>
    </row>
    <row r="24" spans="2:39" x14ac:dyDescent="0.25">
      <c r="E24"/>
      <c r="F24" s="185"/>
      <c r="G24" s="186"/>
      <c r="H24" s="187"/>
      <c r="Z24"/>
      <c r="AA24" s="300"/>
      <c r="AB24" s="145" t="s">
        <v>89</v>
      </c>
      <c r="AC24" s="143" t="s">
        <v>90</v>
      </c>
      <c r="AD24" s="143" t="s">
        <v>91</v>
      </c>
      <c r="AE24" s="143" t="s">
        <v>92</v>
      </c>
      <c r="AF24" s="143" t="s">
        <v>93</v>
      </c>
      <c r="AG24" s="144" t="s">
        <v>94</v>
      </c>
      <c r="AH24" s="149" t="s">
        <v>89</v>
      </c>
      <c r="AI24" s="150" t="s">
        <v>90</v>
      </c>
      <c r="AJ24" s="150" t="s">
        <v>91</v>
      </c>
      <c r="AK24" s="150" t="s">
        <v>92</v>
      </c>
      <c r="AL24" s="150" t="s">
        <v>93</v>
      </c>
      <c r="AM24" s="151" t="s">
        <v>94</v>
      </c>
    </row>
    <row r="25" spans="2:39" x14ac:dyDescent="0.25">
      <c r="F25" s="188"/>
      <c r="G25" s="183"/>
      <c r="H25" s="189"/>
      <c r="Z25"/>
      <c r="AA25" s="134">
        <v>0.5</v>
      </c>
      <c r="AB25" s="146">
        <f t="shared" ref="AB25:AB35" si="12">(AB10*AH25)/(AH10+$C$30*(1-$C$30)*$C$31)</f>
        <v>658.32161204943441</v>
      </c>
      <c r="AC25" s="135">
        <f t="shared" ref="AC25:AC35" si="13">(AC10*AI25)/(AI10+$C$30*(1-$C$30)*$C$31)</f>
        <v>670.46288722609495</v>
      </c>
      <c r="AD25" s="135">
        <f t="shared" ref="AD25:AE35" si="14">AD10</f>
        <v>703.33399999999995</v>
      </c>
      <c r="AE25" s="135">
        <f t="shared" si="14"/>
        <v>726.90823063503365</v>
      </c>
      <c r="AF25" s="135">
        <f t="shared" ref="AF25:AF35" si="15">(AF10*AL25)/(AL10+$C$30*(1-$C$30)*$C$31)</f>
        <v>689.94806418042333</v>
      </c>
      <c r="AG25" s="136">
        <f t="shared" ref="AG25:AG35" si="16">(AG10*AM25)/(AM10+$C$30*(1-$C$30)*$C$31)</f>
        <v>660.52319243776196</v>
      </c>
      <c r="AH25" s="146">
        <f t="shared" ref="AH25:AI35" si="17">(AH10-$C$31)</f>
        <v>324.90232117560095</v>
      </c>
      <c r="AI25" s="135">
        <f t="shared" si="17"/>
        <v>316.22732117560093</v>
      </c>
      <c r="AJ25" s="135">
        <f t="shared" ref="AJ25:AK35" si="18">AJ10</f>
        <v>331.16500000000002</v>
      </c>
      <c r="AK25" s="135">
        <f t="shared" si="18"/>
        <v>311.29463350124234</v>
      </c>
      <c r="AL25" s="135">
        <f t="shared" ref="AL25:AM35" si="19">(AL10-$C$31)</f>
        <v>302.28332117560092</v>
      </c>
      <c r="AM25" s="136">
        <f t="shared" si="19"/>
        <v>314.94032117560096</v>
      </c>
    </row>
    <row r="26" spans="2:39" ht="13.8" x14ac:dyDescent="0.25">
      <c r="B26" s="262" t="s">
        <v>69</v>
      </c>
      <c r="C26" s="263"/>
      <c r="D26" s="264"/>
      <c r="F26" s="190"/>
      <c r="G26" s="184"/>
      <c r="H26" s="191"/>
      <c r="Z26"/>
      <c r="AA26" s="137">
        <v>0.55000000000000004</v>
      </c>
      <c r="AB26" s="147">
        <f t="shared" si="12"/>
        <v>655.93947052417661</v>
      </c>
      <c r="AC26" s="138">
        <f t="shared" si="13"/>
        <v>664.70942585514013</v>
      </c>
      <c r="AD26" s="138">
        <f t="shared" si="14"/>
        <v>700.83399999999995</v>
      </c>
      <c r="AE26" s="138">
        <f t="shared" si="14"/>
        <v>714.03999145720491</v>
      </c>
      <c r="AF26" s="138">
        <f t="shared" si="15"/>
        <v>683.3371314508089</v>
      </c>
      <c r="AG26" s="139">
        <f t="shared" si="16"/>
        <v>658.56069796478982</v>
      </c>
      <c r="AH26" s="147">
        <f t="shared" si="17"/>
        <v>337.64857117560098</v>
      </c>
      <c r="AI26" s="138">
        <f t="shared" si="17"/>
        <v>329.81732117560097</v>
      </c>
      <c r="AJ26" s="138">
        <f t="shared" si="18"/>
        <v>346.95</v>
      </c>
      <c r="AK26" s="138">
        <f t="shared" si="18"/>
        <v>327.30943967536041</v>
      </c>
      <c r="AL26" s="138">
        <f t="shared" si="19"/>
        <v>316.67408117560097</v>
      </c>
      <c r="AM26" s="139">
        <f t="shared" si="19"/>
        <v>330.30752117560098</v>
      </c>
    </row>
    <row r="27" spans="2:39" x14ac:dyDescent="0.25">
      <c r="B27" s="265" t="s">
        <v>70</v>
      </c>
      <c r="C27" s="266"/>
      <c r="D27" s="267"/>
      <c r="F27" s="190"/>
      <c r="G27" s="184"/>
      <c r="H27" s="191"/>
      <c r="AA27" s="137">
        <v>0.6</v>
      </c>
      <c r="AB27" s="147">
        <f t="shared" si="12"/>
        <v>653.43017572078861</v>
      </c>
      <c r="AC27" s="138">
        <f t="shared" si="13"/>
        <v>658.84357951386266</v>
      </c>
      <c r="AD27" s="138">
        <f t="shared" si="14"/>
        <v>698.33399999999995</v>
      </c>
      <c r="AE27" s="138">
        <f t="shared" si="14"/>
        <v>702.53721835065039</v>
      </c>
      <c r="AF27" s="138">
        <f t="shared" si="15"/>
        <v>676.5697449677757</v>
      </c>
      <c r="AG27" s="139">
        <f t="shared" si="16"/>
        <v>656.51394870563104</v>
      </c>
      <c r="AH27" s="147">
        <f t="shared" si="17"/>
        <v>350.03732117560094</v>
      </c>
      <c r="AI27" s="138">
        <f t="shared" si="17"/>
        <v>343.03732117560094</v>
      </c>
      <c r="AJ27" s="138">
        <f t="shared" si="18"/>
        <v>362.73500000000001</v>
      </c>
      <c r="AK27" s="138">
        <f t="shared" si="18"/>
        <v>342.86632024682882</v>
      </c>
      <c r="AL27" s="138">
        <f t="shared" si="19"/>
        <v>330.72996117560092</v>
      </c>
      <c r="AM27" s="139">
        <f t="shared" si="19"/>
        <v>345.67472117560095</v>
      </c>
    </row>
    <row r="28" spans="2:39" x14ac:dyDescent="0.25">
      <c r="B28" s="268"/>
      <c r="C28" s="269"/>
      <c r="D28" s="270"/>
      <c r="F28" s="190"/>
      <c r="G28" s="184"/>
      <c r="H28" s="191"/>
      <c r="AA28" s="137">
        <v>0.65</v>
      </c>
      <c r="AB28" s="147">
        <f t="shared" si="12"/>
        <v>650.80295794589551</v>
      </c>
      <c r="AC28" s="138">
        <f t="shared" si="13"/>
        <v>652.87830360366843</v>
      </c>
      <c r="AD28" s="138">
        <f t="shared" si="14"/>
        <v>695.83399999999995</v>
      </c>
      <c r="AE28" s="138">
        <f t="shared" si="14"/>
        <v>692.12294189939803</v>
      </c>
      <c r="AF28" s="138">
        <f t="shared" si="15"/>
        <v>669.66282685521367</v>
      </c>
      <c r="AG28" s="139">
        <f t="shared" si="16"/>
        <v>654.3934300943688</v>
      </c>
      <c r="AH28" s="147">
        <f t="shared" si="17"/>
        <v>362.06857117560094</v>
      </c>
      <c r="AI28" s="138">
        <f t="shared" si="17"/>
        <v>355.88732117560096</v>
      </c>
      <c r="AJ28" s="138">
        <f t="shared" si="18"/>
        <v>378.52</v>
      </c>
      <c r="AK28" s="138">
        <f t="shared" si="18"/>
        <v>357.96063370972036</v>
      </c>
      <c r="AL28" s="138">
        <f t="shared" si="19"/>
        <v>344.45096117560092</v>
      </c>
      <c r="AM28" s="139">
        <f t="shared" si="19"/>
        <v>361.04192117560098</v>
      </c>
    </row>
    <row r="29" spans="2:39" x14ac:dyDescent="0.25">
      <c r="B29" s="154" t="s">
        <v>55</v>
      </c>
      <c r="C29" s="152">
        <f>+H3+H4</f>
        <v>0.05</v>
      </c>
      <c r="D29" s="153"/>
      <c r="F29" s="190"/>
      <c r="G29" s="184"/>
      <c r="H29" s="191"/>
      <c r="AA29" s="137">
        <v>0.7</v>
      </c>
      <c r="AB29" s="147">
        <f t="shared" si="12"/>
        <v>648.06552144084037</v>
      </c>
      <c r="AC29" s="138">
        <f t="shared" si="13"/>
        <v>646.82428689139954</v>
      </c>
      <c r="AD29" s="138">
        <f t="shared" si="14"/>
        <v>693.33399999999995</v>
      </c>
      <c r="AE29" s="138">
        <f t="shared" si="14"/>
        <v>682.58823161129681</v>
      </c>
      <c r="AF29" s="138">
        <f t="shared" si="15"/>
        <v>662.63019250356911</v>
      </c>
      <c r="AG29" s="139">
        <f t="shared" si="16"/>
        <v>652.20795699468476</v>
      </c>
      <c r="AH29" s="147">
        <f t="shared" si="17"/>
        <v>373.74232117560092</v>
      </c>
      <c r="AI29" s="138">
        <f t="shared" si="17"/>
        <v>368.36732117560092</v>
      </c>
      <c r="AJ29" s="138">
        <f t="shared" si="18"/>
        <v>394.30500000000001</v>
      </c>
      <c r="AK29" s="138">
        <f t="shared" si="18"/>
        <v>372.58905927680041</v>
      </c>
      <c r="AL29" s="138">
        <f t="shared" si="19"/>
        <v>357.83708117560093</v>
      </c>
      <c r="AM29" s="139">
        <f t="shared" si="19"/>
        <v>376.40912117560094</v>
      </c>
    </row>
    <row r="30" spans="2:39" x14ac:dyDescent="0.25">
      <c r="B30" s="154" t="s">
        <v>56</v>
      </c>
      <c r="C30" s="152">
        <f>+H4</f>
        <v>0.02</v>
      </c>
      <c r="D30" s="153"/>
      <c r="F30" s="190"/>
      <c r="G30" s="184"/>
      <c r="H30" s="191"/>
      <c r="AA30" s="137">
        <v>0.75</v>
      </c>
      <c r="AB30" s="147">
        <f t="shared" si="12"/>
        <v>645.22434693306457</v>
      </c>
      <c r="AC30" s="138">
        <f t="shared" si="13"/>
        <v>640.69042647430922</v>
      </c>
      <c r="AD30" s="138">
        <f t="shared" si="14"/>
        <v>690.83399999999995</v>
      </c>
      <c r="AE30" s="138">
        <f t="shared" si="14"/>
        <v>673.77247503139438</v>
      </c>
      <c r="AF30" s="138">
        <f t="shared" si="15"/>
        <v>655.48323268408296</v>
      </c>
      <c r="AG30" s="139">
        <f t="shared" si="16"/>
        <v>649.96499365604654</v>
      </c>
      <c r="AH30" s="147">
        <f t="shared" si="17"/>
        <v>385.05857117560095</v>
      </c>
      <c r="AI30" s="138">
        <f t="shared" si="17"/>
        <v>380.47732117560093</v>
      </c>
      <c r="AJ30" s="138">
        <f t="shared" si="18"/>
        <v>410.09</v>
      </c>
      <c r="AK30" s="138">
        <f t="shared" si="18"/>
        <v>386.74923274897213</v>
      </c>
      <c r="AL30" s="138">
        <f t="shared" si="19"/>
        <v>370.88832117560094</v>
      </c>
      <c r="AM30" s="139">
        <f t="shared" si="19"/>
        <v>391.77632117560097</v>
      </c>
    </row>
    <row r="31" spans="2:39" x14ac:dyDescent="0.25">
      <c r="B31" s="155" t="s">
        <v>96</v>
      </c>
      <c r="C31" s="156">
        <f>120*(C29^0.9-C29^1.6)+15*(C30^0.5-C30^4)</f>
        <v>9.2226788243990274</v>
      </c>
      <c r="D31" s="182" t="s">
        <v>68</v>
      </c>
      <c r="F31" s="190"/>
      <c r="G31" s="184"/>
      <c r="H31" s="191"/>
      <c r="AA31" s="137">
        <v>0.8</v>
      </c>
      <c r="AB31" s="147">
        <f t="shared" si="12"/>
        <v>642.28492493342753</v>
      </c>
      <c r="AC31" s="138">
        <f t="shared" si="13"/>
        <v>634.48418811860824</v>
      </c>
      <c r="AD31" s="138">
        <f t="shared" si="14"/>
        <v>688.33399999999995</v>
      </c>
      <c r="AE31" s="138">
        <f t="shared" si="14"/>
        <v>665.55013393895717</v>
      </c>
      <c r="AF31" s="138">
        <f t="shared" si="15"/>
        <v>648.23142352968034</v>
      </c>
      <c r="AG31" s="139">
        <f t="shared" si="16"/>
        <v>647.67090284718347</v>
      </c>
      <c r="AH31" s="147">
        <f t="shared" si="17"/>
        <v>396.01732117560096</v>
      </c>
      <c r="AI31" s="138">
        <f t="shared" si="17"/>
        <v>392.21732117560094</v>
      </c>
      <c r="AJ31" s="138">
        <f t="shared" si="18"/>
        <v>425.875</v>
      </c>
      <c r="AK31" s="138">
        <f t="shared" si="18"/>
        <v>400.43949919263986</v>
      </c>
      <c r="AL31" s="138">
        <f t="shared" si="19"/>
        <v>383.60468117560094</v>
      </c>
      <c r="AM31" s="139">
        <f t="shared" si="19"/>
        <v>407.14352117560099</v>
      </c>
    </row>
    <row r="32" spans="2:39" x14ac:dyDescent="0.25">
      <c r="B32"/>
      <c r="C32"/>
      <c r="D32"/>
      <c r="F32" s="190"/>
      <c r="G32" s="184"/>
      <c r="H32" s="191"/>
      <c r="AA32" s="137">
        <v>0.85</v>
      </c>
      <c r="AB32" s="147">
        <f t="shared" si="12"/>
        <v>639.25193759261356</v>
      </c>
      <c r="AC32" s="138">
        <f t="shared" si="13"/>
        <v>628.21188299792857</v>
      </c>
      <c r="AD32" s="138">
        <f t="shared" si="14"/>
        <v>685.83399999999995</v>
      </c>
      <c r="AE32" s="138">
        <f t="shared" si="14"/>
        <v>657.82162596203329</v>
      </c>
      <c r="AF32" s="138">
        <f t="shared" si="15"/>
        <v>640.88271301674808</v>
      </c>
      <c r="AG32" s="139">
        <f t="shared" si="16"/>
        <v>645.33114180560949</v>
      </c>
      <c r="AH32" s="147">
        <f t="shared" si="17"/>
        <v>406.61857117560095</v>
      </c>
      <c r="AI32" s="138">
        <f t="shared" si="17"/>
        <v>403.58732117560095</v>
      </c>
      <c r="AJ32" s="138">
        <f t="shared" si="18"/>
        <v>441.65999999999997</v>
      </c>
      <c r="AK32" s="138">
        <f t="shared" si="18"/>
        <v>413.65874106045362</v>
      </c>
      <c r="AL32" s="138">
        <f t="shared" si="19"/>
        <v>395.98616117560096</v>
      </c>
      <c r="AM32" s="139">
        <f t="shared" si="19"/>
        <v>422.51072117560096</v>
      </c>
    </row>
    <row r="33" spans="2:39" x14ac:dyDescent="0.25">
      <c r="B33"/>
      <c r="C33"/>
      <c r="D33"/>
      <c r="E33"/>
      <c r="F33" s="188"/>
      <c r="G33" s="183"/>
      <c r="H33" s="189"/>
      <c r="AA33" s="137">
        <v>0.9</v>
      </c>
      <c r="AB33" s="147">
        <f t="shared" si="12"/>
        <v>636.12940187888273</v>
      </c>
      <c r="AC33" s="138">
        <f t="shared" si="13"/>
        <v>621.87888261764238</v>
      </c>
      <c r="AD33" s="138">
        <f t="shared" si="14"/>
        <v>683.33399999999995</v>
      </c>
      <c r="AE33" s="138">
        <f t="shared" si="14"/>
        <v>650.50690713796052</v>
      </c>
      <c r="AF33" s="138">
        <f t="shared" si="15"/>
        <v>633.44381748739397</v>
      </c>
      <c r="AG33" s="139">
        <f t="shared" si="16"/>
        <v>642.9504177938386</v>
      </c>
      <c r="AH33" s="147">
        <f t="shared" si="17"/>
        <v>416.86232117560093</v>
      </c>
      <c r="AI33" s="138">
        <f t="shared" si="17"/>
        <v>414.58732117560095</v>
      </c>
      <c r="AJ33" s="138">
        <f t="shared" si="18"/>
        <v>457.44499999999999</v>
      </c>
      <c r="AK33" s="138">
        <f t="shared" si="18"/>
        <v>426.40625633308895</v>
      </c>
      <c r="AL33" s="138">
        <f t="shared" si="19"/>
        <v>408.03276117560097</v>
      </c>
      <c r="AM33" s="139">
        <f t="shared" si="19"/>
        <v>437.87792117560099</v>
      </c>
    </row>
    <row r="34" spans="2:39" x14ac:dyDescent="0.25">
      <c r="B34"/>
      <c r="C34"/>
      <c r="D34"/>
      <c r="F34" s="190"/>
      <c r="G34" s="184"/>
      <c r="H34" s="191"/>
      <c r="AA34" s="137">
        <v>0.95</v>
      </c>
      <c r="AB34" s="147">
        <f t="shared" si="12"/>
        <v>632.9207833445696</v>
      </c>
      <c r="AC34" s="138">
        <f t="shared" si="13"/>
        <v>615.48978745547254</v>
      </c>
      <c r="AD34" s="138">
        <f t="shared" si="14"/>
        <v>680.83399999999995</v>
      </c>
      <c r="AE34" s="138">
        <f t="shared" si="14"/>
        <v>643.54086637874786</v>
      </c>
      <c r="AF34" s="138">
        <f t="shared" si="15"/>
        <v>625.92045173086387</v>
      </c>
      <c r="AG34" s="139">
        <f t="shared" si="16"/>
        <v>640.53281265414091</v>
      </c>
      <c r="AH34" s="147">
        <f t="shared" si="17"/>
        <v>426.74857117560094</v>
      </c>
      <c r="AI34" s="138">
        <f t="shared" si="17"/>
        <v>425.21732117560094</v>
      </c>
      <c r="AJ34" s="138">
        <f t="shared" si="18"/>
        <v>473.22999999999996</v>
      </c>
      <c r="AK34" s="138">
        <f t="shared" si="18"/>
        <v>438.68167060783128</v>
      </c>
      <c r="AL34" s="138">
        <f t="shared" si="19"/>
        <v>419.74448117560092</v>
      </c>
      <c r="AM34" s="139">
        <f t="shared" si="19"/>
        <v>453.24512117560096</v>
      </c>
    </row>
    <row r="35" spans="2:39" x14ac:dyDescent="0.25">
      <c r="B35"/>
      <c r="C35"/>
      <c r="D35"/>
      <c r="F35" s="190"/>
      <c r="G35" s="184"/>
      <c r="H35" s="191"/>
      <c r="AA35" s="140">
        <v>1</v>
      </c>
      <c r="AB35" s="148">
        <f t="shared" si="12"/>
        <v>629.62908729489197</v>
      </c>
      <c r="AC35" s="141">
        <f t="shared" si="13"/>
        <v>609.04856054399966</v>
      </c>
      <c r="AD35" s="141">
        <f t="shared" si="14"/>
        <v>678.33399999999995</v>
      </c>
      <c r="AE35" s="141">
        <f t="shared" si="14"/>
        <v>636.86996207092034</v>
      </c>
      <c r="AF35" s="141">
        <f t="shared" si="15"/>
        <v>618.31750936890546</v>
      </c>
      <c r="AG35" s="142">
        <f t="shared" si="16"/>
        <v>638.0818833382607</v>
      </c>
      <c r="AH35" s="148">
        <f t="shared" si="17"/>
        <v>436.27732117560095</v>
      </c>
      <c r="AI35" s="141">
        <f t="shared" si="17"/>
        <v>435.47732117560093</v>
      </c>
      <c r="AJ35" s="141">
        <f t="shared" si="18"/>
        <v>489.01499999999999</v>
      </c>
      <c r="AK35" s="141">
        <f t="shared" si="18"/>
        <v>450.48487271116892</v>
      </c>
      <c r="AL35" s="141">
        <f t="shared" si="19"/>
        <v>431.12132117560094</v>
      </c>
      <c r="AM35" s="142">
        <f t="shared" si="19"/>
        <v>468.61232117560098</v>
      </c>
    </row>
    <row r="36" spans="2:39" x14ac:dyDescent="0.25">
      <c r="B36"/>
      <c r="C36"/>
      <c r="D36"/>
      <c r="F36" s="192"/>
      <c r="G36" s="193"/>
      <c r="H36" s="194"/>
    </row>
    <row r="37" spans="2:39" x14ac:dyDescent="0.25">
      <c r="B37"/>
      <c r="C37"/>
      <c r="D37"/>
      <c r="E37"/>
      <c r="F37"/>
      <c r="G37"/>
      <c r="H37"/>
    </row>
    <row r="38" spans="2:39" x14ac:dyDescent="0.25">
      <c r="B38"/>
      <c r="C38"/>
      <c r="D38"/>
      <c r="E38"/>
      <c r="F38"/>
      <c r="G38"/>
      <c r="H38"/>
    </row>
    <row r="39" spans="2:39" x14ac:dyDescent="0.25">
      <c r="B39"/>
      <c r="C39"/>
      <c r="D39"/>
      <c r="E39"/>
      <c r="F39"/>
      <c r="G39"/>
      <c r="H39"/>
    </row>
  </sheetData>
  <mergeCells count="5">
    <mergeCell ref="AA22:AM22"/>
    <mergeCell ref="AA23:AA24"/>
    <mergeCell ref="B26:D26"/>
    <mergeCell ref="B27:D28"/>
    <mergeCell ref="C3:C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heckBox1">
          <controlPr defaultSize="0" autoLine="0" r:id="rId4">
            <anchor moveWithCells="1">
              <from>
                <xdr:col>5</xdr:col>
                <xdr:colOff>60960</xdr:colOff>
                <xdr:row>23</xdr:row>
                <xdr:rowOff>60960</xdr:rowOff>
              </from>
              <to>
                <xdr:col>5</xdr:col>
                <xdr:colOff>1005840</xdr:colOff>
                <xdr:row>25</xdr:row>
                <xdr:rowOff>30480</xdr:rowOff>
              </to>
            </anchor>
          </controlPr>
        </control>
      </mc:Choice>
      <mc:Fallback>
        <control shapeId="5121" r:id="rId3" name="CheckBox1"/>
      </mc:Fallback>
    </mc:AlternateContent>
    <mc:AlternateContent xmlns:mc="http://schemas.openxmlformats.org/markup-compatibility/2006">
      <mc:Choice Requires="x14">
        <control shapeId="5122" r:id="rId5" name="CheckBox2">
          <controlPr defaultSize="0" autoLine="0" r:id="rId6">
            <anchor moveWithCells="1">
              <from>
                <xdr:col>5</xdr:col>
                <xdr:colOff>60960</xdr:colOff>
                <xdr:row>25</xdr:row>
                <xdr:rowOff>60960</xdr:rowOff>
              </from>
              <to>
                <xdr:col>5</xdr:col>
                <xdr:colOff>1013460</xdr:colOff>
                <xdr:row>27</xdr:row>
                <xdr:rowOff>0</xdr:rowOff>
              </to>
            </anchor>
          </controlPr>
        </control>
      </mc:Choice>
      <mc:Fallback>
        <control shapeId="5122" r:id="rId5" name="CheckBox2"/>
      </mc:Fallback>
    </mc:AlternateContent>
    <mc:AlternateContent xmlns:mc="http://schemas.openxmlformats.org/markup-compatibility/2006">
      <mc:Choice Requires="x14">
        <control shapeId="5123" r:id="rId7" name="CheckBox3">
          <controlPr defaultSize="0" autoLine="0" r:id="rId8">
            <anchor moveWithCells="1">
              <from>
                <xdr:col>5</xdr:col>
                <xdr:colOff>60960</xdr:colOff>
                <xdr:row>27</xdr:row>
                <xdr:rowOff>60960</xdr:rowOff>
              </from>
              <to>
                <xdr:col>6</xdr:col>
                <xdr:colOff>60960</xdr:colOff>
                <xdr:row>29</xdr:row>
                <xdr:rowOff>22860</xdr:rowOff>
              </to>
            </anchor>
          </controlPr>
        </control>
      </mc:Choice>
      <mc:Fallback>
        <control shapeId="5123" r:id="rId7" name="CheckBox3"/>
      </mc:Fallback>
    </mc:AlternateContent>
    <mc:AlternateContent xmlns:mc="http://schemas.openxmlformats.org/markup-compatibility/2006">
      <mc:Choice Requires="x14">
        <control shapeId="5124" r:id="rId9" name="CheckBox4">
          <controlPr defaultSize="0" autoLine="0" r:id="rId10">
            <anchor moveWithCells="1">
              <from>
                <xdr:col>5</xdr:col>
                <xdr:colOff>60960</xdr:colOff>
                <xdr:row>29</xdr:row>
                <xdr:rowOff>60960</xdr:rowOff>
              </from>
              <to>
                <xdr:col>6</xdr:col>
                <xdr:colOff>99060</xdr:colOff>
                <xdr:row>31</xdr:row>
                <xdr:rowOff>22860</xdr:rowOff>
              </to>
            </anchor>
          </controlPr>
        </control>
      </mc:Choice>
      <mc:Fallback>
        <control shapeId="5124" r:id="rId9" name="CheckBox4"/>
      </mc:Fallback>
    </mc:AlternateContent>
    <mc:AlternateContent xmlns:mc="http://schemas.openxmlformats.org/markup-compatibility/2006">
      <mc:Choice Requires="x14">
        <control shapeId="5125" r:id="rId11" name="CheckBox5">
          <controlPr defaultSize="0" autoLine="0" r:id="rId12">
            <anchor moveWithCells="1">
              <from>
                <xdr:col>5</xdr:col>
                <xdr:colOff>60960</xdr:colOff>
                <xdr:row>31</xdr:row>
                <xdr:rowOff>60960</xdr:rowOff>
              </from>
              <to>
                <xdr:col>6</xdr:col>
                <xdr:colOff>304800</xdr:colOff>
                <xdr:row>33</xdr:row>
                <xdr:rowOff>7620</xdr:rowOff>
              </to>
            </anchor>
          </controlPr>
        </control>
      </mc:Choice>
      <mc:Fallback>
        <control shapeId="5125" r:id="rId11" name="CheckBox5"/>
      </mc:Fallback>
    </mc:AlternateContent>
    <mc:AlternateContent xmlns:mc="http://schemas.openxmlformats.org/markup-compatibility/2006">
      <mc:Choice Requires="x14">
        <control shapeId="5126" r:id="rId13" name="CheckBox6">
          <controlPr defaultSize="0" autoLine="0" r:id="rId14">
            <anchor moveWithCells="1">
              <from>
                <xdr:col>5</xdr:col>
                <xdr:colOff>60960</xdr:colOff>
                <xdr:row>33</xdr:row>
                <xdr:rowOff>60960</xdr:rowOff>
              </from>
              <to>
                <xdr:col>6</xdr:col>
                <xdr:colOff>312420</xdr:colOff>
                <xdr:row>35</xdr:row>
                <xdr:rowOff>22860</xdr:rowOff>
              </to>
            </anchor>
          </controlPr>
        </control>
      </mc:Choice>
      <mc:Fallback>
        <control shapeId="5126" r:id="rId13" name="CheckBox6"/>
      </mc:Fallback>
    </mc:AlternateContent>
    <mc:AlternateContent xmlns:mc="http://schemas.openxmlformats.org/markup-compatibility/2006">
      <mc:Choice Requires="x14">
        <control shapeId="5128" r:id="rId15" name="CommandButton1">
          <controlPr defaultSize="0" autoLine="0" r:id="rId16">
            <anchor moveWithCells="1">
              <from>
                <xdr:col>30</xdr:col>
                <xdr:colOff>182880</xdr:colOff>
                <xdr:row>1</xdr:row>
                <xdr:rowOff>76200</xdr:rowOff>
              </from>
              <to>
                <xdr:col>33</xdr:col>
                <xdr:colOff>312420</xdr:colOff>
                <xdr:row>4</xdr:row>
                <xdr:rowOff>60960</xdr:rowOff>
              </to>
            </anchor>
          </controlPr>
        </control>
      </mc:Choice>
      <mc:Fallback>
        <control shapeId="5128" r:id="rId1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HZ84"/>
  <sheetViews>
    <sheetView showGridLines="0" tabSelected="1" workbookViewId="0">
      <selection activeCell="O2" sqref="O2"/>
    </sheetView>
  </sheetViews>
  <sheetFormatPr defaultRowHeight="12" x14ac:dyDescent="0.25"/>
  <cols>
    <col min="1" max="1" width="1.75" style="44" customWidth="1"/>
    <col min="2" max="2" width="11.5" style="44" customWidth="1"/>
    <col min="3" max="4" width="9.125" style="44" customWidth="1"/>
    <col min="5" max="5" width="11.5" style="44" customWidth="1"/>
    <col min="6" max="7" width="12.75" style="44" customWidth="1"/>
    <col min="8" max="8" width="9" style="44"/>
    <col min="9" max="9" width="1.25" style="44" customWidth="1"/>
    <col min="10" max="16" width="9" style="44"/>
    <col min="17" max="17" width="1.25" style="44" customWidth="1"/>
    <col min="18" max="24" width="9" style="44"/>
    <col min="25" max="25" width="1.25" style="44" customWidth="1"/>
    <col min="26" max="35" width="9" style="44"/>
    <col min="36" max="36" width="17.375" style="44" bestFit="1" customWidth="1"/>
    <col min="37" max="37" width="9" style="44"/>
    <col min="38" max="39" width="9" style="195"/>
    <col min="40" max="41" width="9" style="44"/>
    <col min="42" max="45" width="11.625" style="44" customWidth="1"/>
    <col min="46" max="16384" width="9" style="44"/>
  </cols>
  <sheetData>
    <row r="1" spans="2:234" x14ac:dyDescent="0.25">
      <c r="B1" s="225"/>
      <c r="C1" s="219" t="s">
        <v>100</v>
      </c>
      <c r="D1" s="220" t="s">
        <v>102</v>
      </c>
      <c r="E1" s="216" t="s">
        <v>103</v>
      </c>
    </row>
    <row r="2" spans="2:234" x14ac:dyDescent="0.25">
      <c r="B2" s="214" t="s">
        <v>43</v>
      </c>
      <c r="C2" s="221">
        <v>100</v>
      </c>
      <c r="D2" s="222">
        <v>10000</v>
      </c>
      <c r="E2" s="217">
        <v>20</v>
      </c>
    </row>
    <row r="3" spans="2:234" x14ac:dyDescent="0.25">
      <c r="B3" s="215" t="s">
        <v>40</v>
      </c>
      <c r="C3" s="223">
        <v>60</v>
      </c>
      <c r="D3" s="224">
        <v>250</v>
      </c>
      <c r="E3" s="218">
        <v>7</v>
      </c>
    </row>
    <row r="4" spans="2:234" x14ac:dyDescent="0.25">
      <c r="B4"/>
      <c r="C4"/>
      <c r="D4"/>
    </row>
    <row r="5" spans="2:234" x14ac:dyDescent="0.25">
      <c r="B5"/>
      <c r="C5"/>
      <c r="D5"/>
    </row>
    <row r="6" spans="2:234" x14ac:dyDescent="0.25">
      <c r="B6"/>
      <c r="C6"/>
      <c r="D6"/>
      <c r="AM6" s="197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2:234" x14ac:dyDescent="0.25">
      <c r="AL7" s="198"/>
      <c r="AM7" s="198"/>
      <c r="AN7" s="196" t="s">
        <v>104</v>
      </c>
      <c r="AO7" s="181">
        <v>60</v>
      </c>
      <c r="AP7" s="196" t="s">
        <v>105</v>
      </c>
      <c r="AQ7" s="181">
        <v>1.3891</v>
      </c>
      <c r="AR7" s="184"/>
      <c r="AS7" s="196" t="s">
        <v>104</v>
      </c>
      <c r="AT7" s="181">
        <v>91.666666666666671</v>
      </c>
      <c r="AU7" s="196" t="s">
        <v>105</v>
      </c>
      <c r="AV7" s="181">
        <v>1.4737</v>
      </c>
      <c r="AW7" s="184"/>
      <c r="AX7" s="196" t="s">
        <v>104</v>
      </c>
      <c r="AY7" s="181">
        <v>123.33333333333334</v>
      </c>
      <c r="AZ7" s="196" t="s">
        <v>105</v>
      </c>
      <c r="BA7" s="181">
        <v>1.5583</v>
      </c>
      <c r="BB7" s="184"/>
      <c r="BC7" s="196" t="s">
        <v>104</v>
      </c>
      <c r="BD7" s="181">
        <v>155</v>
      </c>
      <c r="BE7" s="196" t="s">
        <v>105</v>
      </c>
      <c r="BF7" s="181">
        <v>1.6429</v>
      </c>
      <c r="BG7" s="184"/>
      <c r="BH7" s="196" t="s">
        <v>104</v>
      </c>
      <c r="BI7" s="181">
        <v>186.66666666666666</v>
      </c>
      <c r="BJ7" s="196" t="s">
        <v>105</v>
      </c>
      <c r="BK7" s="181">
        <v>1.7275</v>
      </c>
      <c r="BL7" s="184"/>
      <c r="BM7" s="196" t="s">
        <v>104</v>
      </c>
      <c r="BN7" s="181">
        <v>218.33333333333331</v>
      </c>
      <c r="BO7" s="196" t="s">
        <v>105</v>
      </c>
      <c r="BP7" s="181">
        <v>1.8121</v>
      </c>
      <c r="BQ7" s="184"/>
      <c r="BR7" s="196" t="s">
        <v>104</v>
      </c>
      <c r="BS7" s="181">
        <v>249.99999999999997</v>
      </c>
      <c r="BT7" s="196" t="s">
        <v>105</v>
      </c>
      <c r="BU7" s="181">
        <v>1.8967000000000001</v>
      </c>
      <c r="BV7" s="184"/>
      <c r="BW7" s="184"/>
      <c r="BX7" s="184"/>
      <c r="BY7" s="184"/>
      <c r="BZ7" s="184"/>
      <c r="CA7" s="184"/>
      <c r="CB7" s="184"/>
      <c r="CC7" s="184"/>
      <c r="CD7" s="184"/>
      <c r="CE7" s="184"/>
      <c r="CF7" s="184"/>
      <c r="CG7" s="184"/>
      <c r="CH7" s="184"/>
      <c r="CI7" s="184"/>
      <c r="CJ7" s="184"/>
      <c r="CK7" s="184"/>
      <c r="CL7" s="184"/>
      <c r="CM7" s="184"/>
      <c r="CN7" s="184"/>
      <c r="CO7" s="184"/>
      <c r="CP7" s="184"/>
      <c r="CQ7" s="184"/>
      <c r="CR7" s="184"/>
      <c r="CS7" s="184"/>
      <c r="CT7" s="184"/>
      <c r="CU7" s="184"/>
      <c r="CV7" s="184"/>
      <c r="CW7" s="184"/>
      <c r="CX7" s="184"/>
      <c r="CY7" s="184"/>
      <c r="CZ7" s="184"/>
      <c r="DA7" s="184"/>
      <c r="DB7" s="184"/>
      <c r="DC7" s="184"/>
      <c r="DD7" s="184"/>
      <c r="DE7" s="184"/>
      <c r="DF7" s="184"/>
      <c r="DG7" s="184"/>
      <c r="DH7" s="184"/>
      <c r="DI7" s="184"/>
      <c r="DJ7" s="184"/>
      <c r="DK7" s="184"/>
      <c r="DL7" s="184"/>
      <c r="DM7" s="184"/>
      <c r="DN7" s="184"/>
      <c r="DO7" s="184"/>
      <c r="DP7" s="184"/>
      <c r="DQ7" s="184"/>
      <c r="DR7" s="184"/>
      <c r="DS7" s="184"/>
      <c r="DT7" s="184"/>
      <c r="DU7" s="184"/>
      <c r="DV7" s="184"/>
      <c r="DW7" s="184"/>
      <c r="DX7" s="184"/>
      <c r="DY7" s="184"/>
      <c r="DZ7" s="184"/>
      <c r="EA7" s="184"/>
      <c r="EB7" s="184"/>
      <c r="EC7" s="184"/>
      <c r="ED7" s="184"/>
      <c r="EE7" s="184"/>
      <c r="EF7" s="184"/>
      <c r="EG7" s="184"/>
      <c r="EH7" s="184"/>
      <c r="EI7" s="184"/>
      <c r="EJ7" s="184"/>
      <c r="EK7" s="184"/>
      <c r="EL7" s="184"/>
      <c r="EM7" s="184"/>
      <c r="EN7" s="184"/>
      <c r="EO7" s="184"/>
      <c r="EP7" s="184"/>
      <c r="EQ7" s="184"/>
      <c r="ER7" s="184"/>
      <c r="ES7" s="184"/>
      <c r="ET7" s="184"/>
      <c r="EU7" s="184"/>
      <c r="EV7" s="184"/>
      <c r="EW7" s="184"/>
      <c r="EX7" s="184"/>
      <c r="EY7" s="184"/>
      <c r="EZ7" s="184"/>
      <c r="FA7" s="184"/>
      <c r="FB7" s="184"/>
      <c r="FC7" s="184"/>
      <c r="FD7" s="184"/>
      <c r="FE7" s="184"/>
      <c r="FF7" s="184"/>
      <c r="FG7" s="184"/>
      <c r="FH7" s="184"/>
      <c r="FI7" s="184"/>
      <c r="FJ7" s="184"/>
      <c r="FK7" s="184"/>
      <c r="FL7" s="184"/>
      <c r="FM7" s="184"/>
      <c r="FN7" s="184"/>
      <c r="FO7" s="184"/>
      <c r="FP7" s="184"/>
      <c r="FQ7" s="184"/>
      <c r="FR7" s="184"/>
      <c r="FS7" s="184"/>
      <c r="FT7" s="184"/>
      <c r="FU7" s="184"/>
      <c r="FV7" s="184"/>
      <c r="FW7" s="184"/>
      <c r="FX7" s="184"/>
      <c r="FY7" s="184"/>
      <c r="FZ7" s="184"/>
      <c r="GA7" s="184"/>
      <c r="GB7" s="184"/>
      <c r="GC7" s="184"/>
      <c r="GD7" s="184"/>
      <c r="GE7" s="184"/>
      <c r="GF7" s="184"/>
      <c r="GG7" s="184"/>
      <c r="GH7" s="184"/>
      <c r="GI7" s="184"/>
      <c r="GJ7" s="184"/>
      <c r="GK7" s="184"/>
      <c r="GL7" s="184"/>
      <c r="GM7" s="184"/>
      <c r="GN7" s="184"/>
      <c r="GO7" s="184"/>
      <c r="GP7" s="184"/>
      <c r="GQ7" s="184"/>
      <c r="GR7" s="184"/>
      <c r="GS7" s="184"/>
      <c r="GT7" s="184"/>
      <c r="GU7" s="184"/>
      <c r="GV7" s="184"/>
      <c r="GW7" s="184"/>
      <c r="GX7" s="184"/>
      <c r="GY7" s="184"/>
      <c r="GZ7" s="184"/>
      <c r="HA7" s="184"/>
      <c r="HB7" s="184"/>
      <c r="HC7" s="184"/>
      <c r="HD7" s="184"/>
      <c r="HE7" s="184"/>
      <c r="HF7" s="184"/>
      <c r="HG7" s="184"/>
      <c r="HH7" s="184"/>
      <c r="HI7" s="184"/>
      <c r="HJ7" s="184"/>
      <c r="HK7" s="184"/>
      <c r="HL7" s="184"/>
      <c r="HM7" s="184"/>
      <c r="HN7" s="184"/>
      <c r="HO7" s="184"/>
      <c r="HP7" s="184"/>
      <c r="HQ7" s="184"/>
      <c r="HR7" s="184"/>
      <c r="HS7" s="184"/>
      <c r="HT7" s="184"/>
      <c r="HU7" s="184"/>
      <c r="HV7" s="184"/>
      <c r="HW7" s="184"/>
      <c r="HX7" s="184"/>
      <c r="HY7" s="184"/>
      <c r="HZ7" s="184"/>
    </row>
    <row r="8" spans="2:234" x14ac:dyDescent="0.25">
      <c r="AL8" s="209" t="s">
        <v>43</v>
      </c>
      <c r="AM8" s="209" t="s">
        <v>101</v>
      </c>
      <c r="AN8" s="210" t="s">
        <v>106</v>
      </c>
      <c r="AO8" s="211" t="s">
        <v>49</v>
      </c>
      <c r="AP8" s="211" t="s">
        <v>50</v>
      </c>
      <c r="AQ8" s="212" t="s">
        <v>51</v>
      </c>
      <c r="AR8" s="213"/>
      <c r="AS8" s="210" t="s">
        <v>106</v>
      </c>
      <c r="AT8" s="211" t="s">
        <v>49</v>
      </c>
      <c r="AU8" s="211" t="s">
        <v>50</v>
      </c>
      <c r="AV8" s="212" t="s">
        <v>51</v>
      </c>
      <c r="AW8" s="213"/>
      <c r="AX8" s="210" t="s">
        <v>106</v>
      </c>
      <c r="AY8" s="211" t="s">
        <v>49</v>
      </c>
      <c r="AZ8" s="211" t="s">
        <v>50</v>
      </c>
      <c r="BA8" s="212" t="s">
        <v>51</v>
      </c>
      <c r="BB8" s="184"/>
      <c r="BC8" s="202" t="s">
        <v>106</v>
      </c>
      <c r="BD8" s="203" t="s">
        <v>49</v>
      </c>
      <c r="BE8" s="203" t="s">
        <v>50</v>
      </c>
      <c r="BF8" s="204" t="s">
        <v>51</v>
      </c>
      <c r="BG8" s="184"/>
      <c r="BH8" s="202" t="s">
        <v>106</v>
      </c>
      <c r="BI8" s="203" t="s">
        <v>49</v>
      </c>
      <c r="BJ8" s="203" t="s">
        <v>50</v>
      </c>
      <c r="BK8" s="204" t="s">
        <v>51</v>
      </c>
      <c r="BL8" s="184"/>
      <c r="BM8" s="202" t="s">
        <v>106</v>
      </c>
      <c r="BN8" s="203" t="s">
        <v>49</v>
      </c>
      <c r="BO8" s="203" t="s">
        <v>50</v>
      </c>
      <c r="BP8" s="204" t="s">
        <v>51</v>
      </c>
      <c r="BQ8" s="184"/>
      <c r="BR8" s="202" t="s">
        <v>106</v>
      </c>
      <c r="BS8" s="203" t="s">
        <v>49</v>
      </c>
      <c r="BT8" s="203" t="s">
        <v>50</v>
      </c>
      <c r="BU8" s="204" t="s">
        <v>51</v>
      </c>
      <c r="BV8" s="184"/>
      <c r="BW8" s="208"/>
      <c r="BX8" s="208"/>
      <c r="BY8" s="208"/>
      <c r="BZ8" s="208"/>
      <c r="CA8" s="184"/>
      <c r="CB8" s="208"/>
      <c r="CC8" s="208"/>
      <c r="CD8" s="208"/>
      <c r="CE8" s="208"/>
      <c r="CF8" s="184"/>
      <c r="CG8" s="208"/>
      <c r="CH8" s="208"/>
      <c r="CI8" s="208"/>
      <c r="CJ8" s="208"/>
      <c r="CK8" s="184"/>
      <c r="CL8" s="184"/>
      <c r="CM8" s="184"/>
      <c r="CN8" s="184"/>
      <c r="CO8" s="184"/>
      <c r="CP8" s="184"/>
      <c r="CQ8" s="184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4"/>
      <c r="DK8" s="184"/>
      <c r="DL8" s="184"/>
      <c r="DM8" s="184"/>
      <c r="DN8" s="184"/>
      <c r="DO8" s="184"/>
      <c r="DP8" s="184"/>
      <c r="DQ8" s="184"/>
      <c r="DR8" s="184"/>
      <c r="DS8" s="184"/>
      <c r="DT8" s="184"/>
      <c r="DU8" s="184"/>
      <c r="DV8" s="184"/>
      <c r="DW8" s="184"/>
      <c r="DX8" s="184"/>
      <c r="DY8" s="184"/>
      <c r="DZ8" s="184"/>
      <c r="EA8" s="184"/>
      <c r="EB8" s="184"/>
      <c r="EC8" s="184"/>
      <c r="ED8" s="184"/>
      <c r="EE8" s="184"/>
      <c r="EF8" s="184"/>
      <c r="EG8" s="184"/>
      <c r="EH8" s="184"/>
      <c r="EI8" s="184"/>
      <c r="EJ8" s="184"/>
      <c r="EK8" s="184"/>
      <c r="EL8" s="184"/>
      <c r="EM8" s="184"/>
      <c r="EN8" s="184"/>
      <c r="EO8" s="184"/>
      <c r="EP8" s="184"/>
      <c r="EQ8" s="184"/>
      <c r="ER8" s="184"/>
      <c r="ES8" s="184"/>
      <c r="ET8" s="184"/>
      <c r="EU8" s="184"/>
      <c r="EV8" s="184"/>
      <c r="EW8" s="184"/>
      <c r="EX8" s="184"/>
      <c r="EY8" s="184"/>
      <c r="EZ8" s="184"/>
      <c r="FA8" s="184"/>
      <c r="FB8" s="184"/>
      <c r="FC8" s="184"/>
      <c r="FD8" s="184"/>
      <c r="FE8" s="184"/>
      <c r="FF8" s="184"/>
      <c r="FG8" s="184"/>
      <c r="FH8" s="184"/>
      <c r="FI8" s="184"/>
      <c r="FJ8" s="184"/>
      <c r="FK8" s="184"/>
      <c r="FL8" s="184"/>
      <c r="FM8" s="184"/>
      <c r="FN8" s="184"/>
      <c r="FO8" s="184"/>
      <c r="FP8" s="184"/>
      <c r="FQ8" s="184"/>
      <c r="FR8" s="184"/>
      <c r="FS8" s="184"/>
      <c r="FT8" s="184"/>
      <c r="FU8" s="184"/>
      <c r="FV8" s="184"/>
      <c r="FW8" s="184"/>
      <c r="FX8" s="184"/>
      <c r="FY8" s="184"/>
      <c r="FZ8" s="184"/>
      <c r="GA8" s="184"/>
      <c r="GB8" s="184"/>
      <c r="GC8" s="184"/>
      <c r="GD8" s="184"/>
      <c r="GE8" s="184"/>
      <c r="GF8" s="184"/>
      <c r="GG8" s="184"/>
      <c r="GH8" s="184"/>
      <c r="GI8" s="184"/>
      <c r="GJ8" s="184"/>
      <c r="GK8" s="184"/>
      <c r="GL8" s="184"/>
      <c r="GM8" s="184"/>
      <c r="GN8" s="184"/>
      <c r="GO8" s="184"/>
      <c r="GP8" s="184"/>
      <c r="GQ8" s="184"/>
      <c r="GR8" s="184"/>
      <c r="GS8" s="184"/>
      <c r="GT8" s="184"/>
      <c r="GU8" s="184"/>
      <c r="GV8" s="184"/>
      <c r="GW8" s="184"/>
      <c r="GX8" s="184"/>
      <c r="GY8" s="184"/>
      <c r="GZ8" s="184"/>
      <c r="HA8" s="184"/>
      <c r="HB8" s="184"/>
      <c r="HC8" s="184"/>
      <c r="HD8" s="184"/>
      <c r="HE8" s="184"/>
      <c r="HF8" s="184"/>
      <c r="HG8" s="184"/>
      <c r="HH8" s="184"/>
      <c r="HI8" s="184"/>
      <c r="HJ8" s="184"/>
      <c r="HK8" s="184"/>
      <c r="HL8" s="184"/>
      <c r="HM8" s="184"/>
      <c r="HN8" s="184"/>
      <c r="HO8" s="184"/>
      <c r="HP8" s="184"/>
      <c r="HQ8" s="184"/>
      <c r="HR8" s="184"/>
      <c r="HS8" s="184"/>
      <c r="HT8" s="184"/>
      <c r="HU8" s="184"/>
      <c r="HV8" s="184"/>
      <c r="HW8" s="184"/>
      <c r="HX8" s="184"/>
      <c r="HY8" s="184"/>
      <c r="HZ8" s="184"/>
    </row>
    <row r="9" spans="2:234" x14ac:dyDescent="0.25">
      <c r="AL9" s="199" t="s">
        <v>31</v>
      </c>
      <c r="AM9" s="199" t="s">
        <v>31</v>
      </c>
      <c r="AN9" s="205"/>
      <c r="AO9" s="206" t="s">
        <v>61</v>
      </c>
      <c r="AP9" s="206" t="s">
        <v>107</v>
      </c>
      <c r="AQ9" s="207" t="s">
        <v>63</v>
      </c>
      <c r="AR9" s="184"/>
      <c r="AS9" s="205"/>
      <c r="AT9" s="206" t="s">
        <v>61</v>
      </c>
      <c r="AU9" s="206" t="s">
        <v>107</v>
      </c>
      <c r="AV9" s="207" t="s">
        <v>63</v>
      </c>
      <c r="AW9" s="184"/>
      <c r="AX9" s="205"/>
      <c r="AY9" s="206" t="s">
        <v>61</v>
      </c>
      <c r="AZ9" s="206" t="s">
        <v>107</v>
      </c>
      <c r="BA9" s="207" t="s">
        <v>63</v>
      </c>
      <c r="BB9" s="184"/>
      <c r="BC9" s="205"/>
      <c r="BD9" s="206" t="s">
        <v>61</v>
      </c>
      <c r="BE9" s="206" t="s">
        <v>107</v>
      </c>
      <c r="BF9" s="207" t="s">
        <v>63</v>
      </c>
      <c r="BG9" s="184"/>
      <c r="BH9" s="205"/>
      <c r="BI9" s="206" t="s">
        <v>61</v>
      </c>
      <c r="BJ9" s="206" t="s">
        <v>107</v>
      </c>
      <c r="BK9" s="207" t="s">
        <v>63</v>
      </c>
      <c r="BL9" s="184"/>
      <c r="BM9" s="205"/>
      <c r="BN9" s="206" t="s">
        <v>61</v>
      </c>
      <c r="BO9" s="206" t="s">
        <v>107</v>
      </c>
      <c r="BP9" s="207" t="s">
        <v>63</v>
      </c>
      <c r="BQ9" s="184"/>
      <c r="BR9" s="205"/>
      <c r="BS9" s="206" t="s">
        <v>61</v>
      </c>
      <c r="BT9" s="206" t="s">
        <v>107</v>
      </c>
      <c r="BU9" s="207" t="s">
        <v>63</v>
      </c>
      <c r="BV9" s="184"/>
      <c r="BW9" s="208"/>
      <c r="BX9" s="208"/>
      <c r="BY9" s="208"/>
      <c r="BZ9" s="208"/>
      <c r="CA9" s="184"/>
      <c r="CB9" s="208"/>
      <c r="CC9" s="208"/>
      <c r="CD9" s="208"/>
      <c r="CE9" s="208"/>
      <c r="CF9" s="184"/>
      <c r="CG9" s="208"/>
      <c r="CH9" s="208"/>
      <c r="CI9" s="208"/>
      <c r="CJ9" s="208"/>
      <c r="CK9" s="184"/>
      <c r="CL9" s="184"/>
      <c r="CM9" s="184"/>
      <c r="CN9" s="184"/>
      <c r="CO9" s="184"/>
      <c r="CP9" s="184"/>
      <c r="CQ9" s="184"/>
      <c r="CR9" s="184"/>
      <c r="CS9" s="184"/>
      <c r="CT9" s="184"/>
      <c r="CU9" s="184"/>
      <c r="CV9" s="184"/>
      <c r="CW9" s="184"/>
      <c r="CX9" s="184"/>
      <c r="CY9" s="184"/>
      <c r="CZ9" s="184"/>
      <c r="DA9" s="184"/>
      <c r="DB9" s="184"/>
      <c r="DC9" s="184"/>
      <c r="DD9" s="184"/>
      <c r="DE9" s="184"/>
      <c r="DF9" s="184"/>
      <c r="DG9" s="184"/>
      <c r="DH9" s="184"/>
      <c r="DI9" s="184"/>
      <c r="DJ9" s="184"/>
      <c r="DK9" s="184"/>
      <c r="DL9" s="184"/>
      <c r="DM9" s="184"/>
      <c r="DN9" s="184"/>
      <c r="DO9" s="184"/>
      <c r="DP9" s="184"/>
      <c r="DQ9" s="184"/>
      <c r="DR9" s="184"/>
      <c r="DS9" s="184"/>
      <c r="DT9" s="184"/>
      <c r="DU9" s="184"/>
      <c r="DV9" s="184"/>
      <c r="DW9" s="184"/>
      <c r="DX9" s="184"/>
      <c r="DY9" s="184"/>
      <c r="DZ9" s="184"/>
      <c r="EA9" s="184"/>
      <c r="EB9" s="184"/>
      <c r="EC9" s="184"/>
      <c r="ED9" s="184"/>
      <c r="EE9" s="184"/>
      <c r="EF9" s="184"/>
      <c r="EG9" s="184"/>
      <c r="EH9" s="184"/>
      <c r="EI9" s="184"/>
      <c r="EJ9" s="184"/>
      <c r="EK9" s="184"/>
      <c r="EL9" s="184"/>
      <c r="EM9" s="184"/>
      <c r="EN9" s="184"/>
      <c r="EO9" s="184"/>
      <c r="EP9" s="184"/>
      <c r="EQ9" s="184"/>
      <c r="ER9" s="184"/>
      <c r="ES9" s="184"/>
      <c r="ET9" s="184"/>
      <c r="EU9" s="184"/>
      <c r="EV9" s="184"/>
      <c r="EW9" s="184"/>
      <c r="EX9" s="184"/>
      <c r="EY9" s="184"/>
      <c r="EZ9" s="184"/>
      <c r="FA9" s="184"/>
      <c r="FB9" s="184"/>
      <c r="FC9" s="184"/>
      <c r="FD9" s="184"/>
      <c r="FE9" s="184"/>
      <c r="FF9" s="184"/>
      <c r="FG9" s="184"/>
      <c r="FH9" s="184"/>
      <c r="FI9" s="184"/>
      <c r="FJ9" s="184"/>
      <c r="FK9" s="184"/>
      <c r="FL9" s="184"/>
      <c r="FM9" s="184"/>
      <c r="FN9" s="184"/>
      <c r="FO9" s="184"/>
      <c r="FP9" s="184"/>
      <c r="FQ9" s="184"/>
      <c r="FR9" s="184"/>
      <c r="FS9" s="184"/>
      <c r="FT9" s="184"/>
      <c r="FU9" s="184"/>
      <c r="FV9" s="184"/>
      <c r="FW9" s="184"/>
      <c r="FX9" s="184"/>
      <c r="FY9" s="184"/>
      <c r="FZ9" s="184"/>
      <c r="GA9" s="184"/>
      <c r="GB9" s="184"/>
      <c r="GC9" s="184"/>
      <c r="GD9" s="184"/>
      <c r="GE9" s="184"/>
      <c r="GF9" s="184"/>
      <c r="GG9" s="184"/>
      <c r="GH9" s="184"/>
      <c r="GI9" s="184"/>
      <c r="GJ9" s="184"/>
      <c r="GK9" s="184"/>
      <c r="GL9" s="184"/>
      <c r="GM9" s="184"/>
      <c r="GN9" s="184"/>
      <c r="GO9" s="184"/>
      <c r="GP9" s="184"/>
      <c r="GQ9" s="184"/>
      <c r="GR9" s="184"/>
      <c r="GS9" s="184"/>
      <c r="GT9" s="184"/>
      <c r="GU9" s="184"/>
      <c r="GV9" s="184"/>
      <c r="GW9" s="184"/>
      <c r="GX9" s="184"/>
      <c r="GY9" s="184"/>
      <c r="GZ9" s="184"/>
      <c r="HA9" s="184"/>
      <c r="HB9" s="184"/>
      <c r="HC9" s="184"/>
      <c r="HD9" s="184"/>
      <c r="HE9" s="184"/>
      <c r="HF9" s="184"/>
      <c r="HG9" s="184"/>
      <c r="HH9" s="184"/>
      <c r="HI9" s="184"/>
      <c r="HJ9" s="184"/>
      <c r="HK9" s="184"/>
      <c r="HL9" s="184"/>
      <c r="HM9" s="184"/>
      <c r="HN9" s="184"/>
      <c r="HO9" s="184"/>
      <c r="HP9" s="184"/>
      <c r="HQ9" s="184"/>
      <c r="HR9" s="184"/>
      <c r="HS9" s="184"/>
      <c r="HT9" s="184"/>
      <c r="HU9" s="184"/>
      <c r="HV9" s="184"/>
      <c r="HW9" s="184"/>
      <c r="HX9" s="184"/>
      <c r="HY9" s="184"/>
      <c r="HZ9" s="184"/>
    </row>
    <row r="10" spans="2:234" x14ac:dyDescent="0.25">
      <c r="AH10" s="59"/>
      <c r="AI10" s="59"/>
      <c r="AJ10" s="255"/>
      <c r="AL10" s="200">
        <v>100</v>
      </c>
      <c r="AM10" s="201">
        <v>0.15140000000000001</v>
      </c>
      <c r="AN10" s="201">
        <v>0.97782999999999998</v>
      </c>
      <c r="AO10" s="201">
        <v>0.14389746279999999</v>
      </c>
      <c r="AP10" s="201">
        <v>0.35028569792929765</v>
      </c>
      <c r="AQ10" s="201">
        <v>1.0573911632790811E-2</v>
      </c>
      <c r="AR10" s="195"/>
      <c r="AS10" s="201">
        <v>0.98168</v>
      </c>
      <c r="AT10" s="201">
        <v>0.1532615177333333</v>
      </c>
      <c r="AU10" s="201">
        <v>0.3288837532906041</v>
      </c>
      <c r="AV10" s="201">
        <v>1.1207411608551583E-2</v>
      </c>
      <c r="AX10" s="201">
        <v>0.98479000000000005</v>
      </c>
      <c r="AY10" s="201">
        <v>0.16257241583333337</v>
      </c>
      <c r="AZ10" s="201">
        <v>0.31004782040532491</v>
      </c>
      <c r="BA10" s="201">
        <v>1.1835726954874164E-2</v>
      </c>
      <c r="BC10" s="201">
        <v>0.98734</v>
      </c>
      <c r="BD10" s="201">
        <v>0.17184159030000001</v>
      </c>
      <c r="BE10" s="201">
        <v>0.29332377045135588</v>
      </c>
      <c r="BF10" s="201">
        <v>1.2457875804162947E-2</v>
      </c>
      <c r="BH10" s="201">
        <v>0.98945000000000005</v>
      </c>
      <c r="BI10" s="201">
        <v>0.18107594633333335</v>
      </c>
      <c r="BJ10" s="201">
        <v>0.27836509601537457</v>
      </c>
      <c r="BK10" s="201">
        <v>1.3073237477473265E-2</v>
      </c>
      <c r="BM10" s="201">
        <v>0.99119999999999997</v>
      </c>
      <c r="BN10" s="201">
        <v>0.19027901199999994</v>
      </c>
      <c r="BO10" s="201">
        <v>0.26490164447118919</v>
      </c>
      <c r="BP10" s="201">
        <v>1.3681430284379924E-2</v>
      </c>
      <c r="BR10" s="201">
        <v>0.99267000000000005</v>
      </c>
      <c r="BS10" s="201">
        <v>0.19945718309999999</v>
      </c>
      <c r="BT10" s="201">
        <v>0.25271199765155583</v>
      </c>
      <c r="BU10" s="201">
        <v>1.4282233094886607E-2</v>
      </c>
      <c r="BW10" s="201"/>
      <c r="BX10" s="201"/>
      <c r="BY10" s="201"/>
      <c r="BZ10" s="201"/>
      <c r="CB10" s="201"/>
      <c r="CC10" s="201"/>
      <c r="CD10" s="201"/>
      <c r="CE10" s="201"/>
      <c r="CG10" s="201"/>
      <c r="CH10" s="201"/>
      <c r="CI10" s="201"/>
      <c r="CJ10" s="201"/>
    </row>
    <row r="11" spans="2:234" x14ac:dyDescent="0.25">
      <c r="AH11" s="59"/>
      <c r="AI11" s="59"/>
      <c r="AJ11" s="255"/>
      <c r="AL11" s="200">
        <v>621.04999999999995</v>
      </c>
      <c r="AM11" s="201">
        <v>0.94040000000000001</v>
      </c>
      <c r="AN11" s="201">
        <v>0.86763999999999997</v>
      </c>
      <c r="AO11" s="201">
        <v>2.055903750100636E-2</v>
      </c>
      <c r="AP11" s="201">
        <v>2.4517306894686008</v>
      </c>
      <c r="AQ11" s="201">
        <v>1.1664012397583474E-2</v>
      </c>
      <c r="AR11" s="195"/>
      <c r="AS11" s="201">
        <v>0.89270000000000005</v>
      </c>
      <c r="AT11" s="201">
        <v>2.2440996994337548E-2</v>
      </c>
      <c r="AU11" s="201">
        <v>2.2461222734387296</v>
      </c>
      <c r="AV11" s="201">
        <v>1.2139907719795262E-2</v>
      </c>
      <c r="AX11" s="201">
        <v>0.91232999999999997</v>
      </c>
      <c r="AY11" s="201">
        <v>2.4250942355687949E-2</v>
      </c>
      <c r="AZ11" s="201">
        <v>2.0784851346335751</v>
      </c>
      <c r="BA11" s="201">
        <v>1.2647913515237311E-2</v>
      </c>
      <c r="BC11" s="201">
        <v>0.92798999999999998</v>
      </c>
      <c r="BD11" s="201">
        <v>2.6006282835520488E-2</v>
      </c>
      <c r="BE11" s="201">
        <v>1.9381940704846732</v>
      </c>
      <c r="BF11" s="201">
        <v>1.3175319810869736E-2</v>
      </c>
      <c r="BH11" s="201">
        <v>0.94069000000000003</v>
      </c>
      <c r="BI11" s="201">
        <v>2.7719594439524459E-2</v>
      </c>
      <c r="BJ11" s="201">
        <v>1.8183968490997107</v>
      </c>
      <c r="BK11" s="201">
        <v>1.3714223671305257E-2</v>
      </c>
      <c r="BM11" s="201">
        <v>0.95109999999999995</v>
      </c>
      <c r="BN11" s="201">
        <v>2.9398773340847482E-2</v>
      </c>
      <c r="BO11" s="201">
        <v>1.7145349094249012</v>
      </c>
      <c r="BP11" s="201">
        <v>1.4259522531961956E-2</v>
      </c>
      <c r="BR11" s="201">
        <v>0.95972999999999997</v>
      </c>
      <c r="BS11" s="201">
        <v>3.1050406392399973E-2</v>
      </c>
      <c r="BT11" s="201">
        <v>1.6233353776487298</v>
      </c>
      <c r="BU11" s="201">
        <v>1.4807746894717094E-2</v>
      </c>
      <c r="BW11" s="201"/>
      <c r="BX11" s="201"/>
      <c r="BY11" s="201"/>
      <c r="BZ11" s="201"/>
      <c r="CB11" s="201"/>
      <c r="CC11" s="201"/>
      <c r="CD11" s="201"/>
      <c r="CE11" s="201"/>
      <c r="CG11" s="201"/>
      <c r="CH11" s="201"/>
      <c r="CI11" s="201"/>
      <c r="CJ11" s="201"/>
    </row>
    <row r="12" spans="2:234" x14ac:dyDescent="0.25">
      <c r="AH12" s="59"/>
      <c r="AI12" s="59"/>
      <c r="AJ12" s="255"/>
      <c r="AL12" s="200">
        <v>1142.1099999999999</v>
      </c>
      <c r="AM12" s="201">
        <v>1.7293000000000001</v>
      </c>
      <c r="AN12" s="201">
        <v>0.77571000000000001</v>
      </c>
      <c r="AO12" s="201">
        <v>9.9949640227298599E-3</v>
      </c>
      <c r="AP12" s="201">
        <v>5.0430619932723166</v>
      </c>
      <c r="AQ12" s="201">
        <v>1.3577373145896984E-2</v>
      </c>
      <c r="AR12" s="195"/>
      <c r="AS12" s="201">
        <v>0.82076000000000005</v>
      </c>
      <c r="AT12" s="201">
        <v>1.1219446387242326E-2</v>
      </c>
      <c r="AU12" s="201">
        <v>4.4926658096489591</v>
      </c>
      <c r="AV12" s="201">
        <v>1.3686399841574068E-2</v>
      </c>
      <c r="AX12" s="201">
        <v>0.85523000000000005</v>
      </c>
      <c r="AY12" s="201">
        <v>1.2361700638876E-2</v>
      </c>
      <c r="AZ12" s="201">
        <v>4.0775314545827959</v>
      </c>
      <c r="BA12" s="201">
        <v>1.3946865260171599E-2</v>
      </c>
      <c r="BC12" s="201">
        <v>0.88231000000000004</v>
      </c>
      <c r="BD12" s="201">
        <v>1.3445433797970426E-2</v>
      </c>
      <c r="BE12" s="201">
        <v>3.7488729589938377</v>
      </c>
      <c r="BF12" s="201">
        <v>1.4295496763625305E-2</v>
      </c>
      <c r="BH12" s="201">
        <v>0.90400000000000003</v>
      </c>
      <c r="BI12" s="201">
        <v>1.4485297096310046E-2</v>
      </c>
      <c r="BJ12" s="201">
        <v>3.4797507328995869</v>
      </c>
      <c r="BK12" s="201">
        <v>1.4699019541572296E-2</v>
      </c>
      <c r="BM12" s="201">
        <v>0.92164999999999997</v>
      </c>
      <c r="BN12" s="201">
        <v>1.549129369471125E-2</v>
      </c>
      <c r="BO12" s="201">
        <v>3.2537775204895611</v>
      </c>
      <c r="BP12" s="201">
        <v>1.513807029354239E-2</v>
      </c>
      <c r="BR12" s="201">
        <v>0.93618000000000001</v>
      </c>
      <c r="BS12" s="201">
        <v>1.6470098974704715E-2</v>
      </c>
      <c r="BT12" s="201">
        <v>3.0604080318258582</v>
      </c>
      <c r="BU12" s="201">
        <v>1.5600642568979646E-2</v>
      </c>
      <c r="BW12" s="201"/>
      <c r="BX12" s="201"/>
      <c r="BY12" s="201"/>
      <c r="BZ12" s="201"/>
      <c r="CB12" s="201"/>
      <c r="CC12" s="201"/>
      <c r="CD12" s="201"/>
      <c r="CE12" s="201"/>
      <c r="CG12" s="201"/>
      <c r="CH12" s="201"/>
      <c r="CI12" s="201"/>
      <c r="CJ12" s="201"/>
    </row>
    <row r="13" spans="2:234" x14ac:dyDescent="0.25">
      <c r="AH13" s="59"/>
      <c r="AI13" s="59"/>
      <c r="AJ13" s="255"/>
      <c r="AL13" s="200">
        <v>1663.16</v>
      </c>
      <c r="AM13" s="201">
        <v>2.5183</v>
      </c>
      <c r="AN13" s="201">
        <v>0.71840000000000004</v>
      </c>
      <c r="AO13" s="201">
        <v>6.356558839798937E-3</v>
      </c>
      <c r="AP13" s="201">
        <v>7.929639991934299</v>
      </c>
      <c r="AQ13" s="201">
        <v>1.6431929818475577E-2</v>
      </c>
      <c r="AR13" s="195"/>
      <c r="AS13" s="201">
        <v>0.77459</v>
      </c>
      <c r="AT13" s="201">
        <v>7.2711153336620232E-3</v>
      </c>
      <c r="AU13" s="201">
        <v>6.9322546643978278</v>
      </c>
      <c r="AV13" s="201">
        <v>1.5870710340132498E-2</v>
      </c>
      <c r="AX13" s="201">
        <v>0.81833999999999996</v>
      </c>
      <c r="AY13" s="201">
        <v>8.122747961711441E-3</v>
      </c>
      <c r="AZ13" s="201">
        <v>6.2054397630888571</v>
      </c>
      <c r="BA13" s="201">
        <v>1.5713058430944369E-2</v>
      </c>
      <c r="BC13" s="201">
        <v>0.85297999999999996</v>
      </c>
      <c r="BD13" s="201">
        <v>8.9261949601962525E-3</v>
      </c>
      <c r="BE13" s="201">
        <v>5.6468879978445967</v>
      </c>
      <c r="BF13" s="201">
        <v>1.5778156126052184E-2</v>
      </c>
      <c r="BH13" s="201">
        <v>0.88085000000000002</v>
      </c>
      <c r="BI13" s="201">
        <v>9.6924783143734414E-3</v>
      </c>
      <c r="BJ13" s="201">
        <v>5.2004473522942849</v>
      </c>
      <c r="BK13" s="201">
        <v>1.597727767262247E-2</v>
      </c>
      <c r="BM13" s="201">
        <v>0.90356999999999998</v>
      </c>
      <c r="BN13" s="201">
        <v>1.0429352975660788E-2</v>
      </c>
      <c r="BO13" s="201">
        <v>4.8330153658414785</v>
      </c>
      <c r="BP13" s="201">
        <v>1.6262178159177128E-2</v>
      </c>
      <c r="BR13" s="201">
        <v>0.92229000000000005</v>
      </c>
      <c r="BS13" s="201">
        <v>1.1142387365015993E-2</v>
      </c>
      <c r="BT13" s="201">
        <v>4.5237363893317477</v>
      </c>
      <c r="BU13" s="201">
        <v>1.6604384025908862E-2</v>
      </c>
      <c r="BW13" s="201"/>
      <c r="BX13" s="201"/>
      <c r="BY13" s="201"/>
      <c r="BZ13" s="201"/>
      <c r="CB13" s="201"/>
      <c r="CC13" s="201"/>
      <c r="CD13" s="201"/>
      <c r="CE13" s="201"/>
      <c r="CG13" s="201"/>
      <c r="CH13" s="201"/>
      <c r="CI13" s="201"/>
      <c r="CJ13" s="201"/>
    </row>
    <row r="14" spans="2:234" x14ac:dyDescent="0.25">
      <c r="AH14" s="59"/>
      <c r="AI14" s="59"/>
      <c r="AJ14" s="255"/>
      <c r="AL14" s="200">
        <v>2184.21</v>
      </c>
      <c r="AM14" s="201">
        <v>3.3071999999999999</v>
      </c>
      <c r="AN14" s="201">
        <v>0.70204999999999995</v>
      </c>
      <c r="AO14" s="201">
        <v>4.7300249518132404E-3</v>
      </c>
      <c r="AP14" s="201">
        <v>10.656439173292405</v>
      </c>
      <c r="AQ14" s="201">
        <v>1.9968539861623717E-2</v>
      </c>
      <c r="AR14" s="195"/>
      <c r="AS14" s="201">
        <v>0.75736999999999999</v>
      </c>
      <c r="AT14" s="201">
        <v>5.4134843574259487E-3</v>
      </c>
      <c r="AU14" s="201">
        <v>9.3110499373679279</v>
      </c>
      <c r="AV14" s="201">
        <v>1.8572408424756142E-2</v>
      </c>
      <c r="AX14" s="201">
        <v>0.80305000000000004</v>
      </c>
      <c r="AY14" s="201">
        <v>6.0694791633283127E-3</v>
      </c>
      <c r="AZ14" s="201">
        <v>8.3047032258880815</v>
      </c>
      <c r="BA14" s="201">
        <v>1.7872935000591231E-2</v>
      </c>
      <c r="BC14" s="201">
        <v>0.84045000000000003</v>
      </c>
      <c r="BD14" s="201">
        <v>6.6969806131278592E-3</v>
      </c>
      <c r="BE14" s="201">
        <v>7.526559519725283</v>
      </c>
      <c r="BF14" s="201">
        <v>1.7569234792597435E-2</v>
      </c>
      <c r="BH14" s="201">
        <v>0.87114999999999998</v>
      </c>
      <c r="BI14" s="201">
        <v>7.2990352423378093E-3</v>
      </c>
      <c r="BJ14" s="201">
        <v>6.9057377466516865</v>
      </c>
      <c r="BK14" s="201">
        <v>1.7504956298347089E-2</v>
      </c>
      <c r="BM14" s="201">
        <v>0.89651000000000003</v>
      </c>
      <c r="BN14" s="201">
        <v>7.8793490789194568E-3</v>
      </c>
      <c r="BO14" s="201">
        <v>6.3971303571265965</v>
      </c>
      <c r="BP14" s="201">
        <v>1.75937007565517E-2</v>
      </c>
      <c r="BR14" s="201">
        <v>0.91759999999999997</v>
      </c>
      <c r="BS14" s="201">
        <v>8.4411923761909327E-3</v>
      </c>
      <c r="BT14" s="201">
        <v>5.9713392303823278</v>
      </c>
      <c r="BU14" s="201">
        <v>1.7784722640256358E-2</v>
      </c>
      <c r="BW14" s="201"/>
      <c r="BX14" s="201"/>
      <c r="BY14" s="201"/>
      <c r="BZ14" s="201"/>
      <c r="CB14" s="201"/>
      <c r="CC14" s="201"/>
      <c r="CD14" s="201"/>
      <c r="CE14" s="201"/>
      <c r="CG14" s="201"/>
      <c r="CH14" s="201"/>
      <c r="CI14" s="201"/>
      <c r="CJ14" s="201"/>
    </row>
    <row r="15" spans="2:234" x14ac:dyDescent="0.25">
      <c r="AH15" s="59"/>
      <c r="AI15" s="59"/>
      <c r="AJ15" s="255"/>
      <c r="AL15" s="200">
        <v>2705.26</v>
      </c>
      <c r="AM15" s="201">
        <v>4.0961999999999996</v>
      </c>
      <c r="AN15" s="201">
        <v>0.71591000000000005</v>
      </c>
      <c r="AO15" s="201">
        <v>3.8943878074565843E-3</v>
      </c>
      <c r="AP15" s="201">
        <v>12.943041545744945</v>
      </c>
      <c r="AQ15" s="201">
        <v>2.3719771525927386E-2</v>
      </c>
      <c r="AR15" s="195"/>
      <c r="AS15" s="201">
        <v>0.76400999999999997</v>
      </c>
      <c r="AT15" s="201">
        <v>4.4091331165950765E-3</v>
      </c>
      <c r="AU15" s="201">
        <v>11.432003038746588</v>
      </c>
      <c r="AV15" s="201">
        <v>2.1549386024676785E-2</v>
      </c>
      <c r="AX15" s="201">
        <v>0.80640999999999996</v>
      </c>
      <c r="AY15" s="201">
        <v>4.9209632653916188E-3</v>
      </c>
      <c r="AZ15" s="201">
        <v>10.242958638127895</v>
      </c>
      <c r="BA15" s="201">
        <v>2.0289856530101957E-2</v>
      </c>
      <c r="BC15" s="201">
        <v>0.8427</v>
      </c>
      <c r="BD15" s="201">
        <v>5.4215758004775875E-3</v>
      </c>
      <c r="BE15" s="201">
        <v>9.297153639853736</v>
      </c>
      <c r="BF15" s="201">
        <v>1.9582986286155069E-2</v>
      </c>
      <c r="BH15" s="201">
        <v>0.87338000000000005</v>
      </c>
      <c r="BI15" s="201">
        <v>5.9082809982527853E-3</v>
      </c>
      <c r="BJ15" s="201">
        <v>8.5312840066440838</v>
      </c>
      <c r="BK15" s="201">
        <v>1.922282773063843E-2</v>
      </c>
      <c r="BM15" s="201">
        <v>0.89924999999999999</v>
      </c>
      <c r="BN15" s="201">
        <v>6.3811805057554533E-3</v>
      </c>
      <c r="BO15" s="201">
        <v>7.8990436239329958</v>
      </c>
      <c r="BP15" s="201">
        <v>1.9088436358007912E-2</v>
      </c>
      <c r="BR15" s="201">
        <v>0.92107000000000006</v>
      </c>
      <c r="BS15" s="201">
        <v>6.8411389330415564E-3</v>
      </c>
      <c r="BT15" s="201">
        <v>7.3679578328258106</v>
      </c>
      <c r="BU15" s="201">
        <v>1.9106765130151568E-2</v>
      </c>
      <c r="BW15" s="201"/>
      <c r="BX15" s="201"/>
      <c r="BY15" s="201"/>
      <c r="BZ15" s="201"/>
      <c r="CB15" s="201"/>
      <c r="CC15" s="201"/>
      <c r="CD15" s="201"/>
      <c r="CE15" s="201"/>
      <c r="CG15" s="201"/>
      <c r="CH15" s="201"/>
      <c r="CI15" s="201"/>
      <c r="CJ15" s="201"/>
    </row>
    <row r="16" spans="2:234" x14ac:dyDescent="0.25">
      <c r="AH16" s="59"/>
      <c r="AI16" s="59"/>
      <c r="AJ16" s="255"/>
      <c r="AL16" s="200">
        <v>3226.32</v>
      </c>
      <c r="AM16" s="201">
        <v>4.8851000000000004</v>
      </c>
      <c r="AN16" s="201">
        <v>0.74682999999999999</v>
      </c>
      <c r="AO16" s="201">
        <v>3.4064662773686427E-3</v>
      </c>
      <c r="AP16" s="201">
        <v>14.796924168023509</v>
      </c>
      <c r="AQ16" s="201">
        <v>2.7408337177355448E-2</v>
      </c>
      <c r="AR16" s="195"/>
      <c r="AS16" s="201">
        <v>0.78652999999999995</v>
      </c>
      <c r="AT16" s="201">
        <v>3.8060196906485816E-3</v>
      </c>
      <c r="AU16" s="201">
        <v>13.243552919865115</v>
      </c>
      <c r="AV16" s="201">
        <v>2.4599930956196968E-2</v>
      </c>
      <c r="AX16" s="201">
        <v>0.82347000000000004</v>
      </c>
      <c r="AY16" s="201">
        <v>4.21350555741526E-3</v>
      </c>
      <c r="AZ16" s="201">
        <v>11.962776006891945</v>
      </c>
      <c r="BA16" s="201">
        <v>2.2830495961089048E-2</v>
      </c>
      <c r="BC16" s="201">
        <v>0.85645000000000004</v>
      </c>
      <c r="BD16" s="201">
        <v>4.6201505197872497E-3</v>
      </c>
      <c r="BE16" s="201">
        <v>10.909866025203485</v>
      </c>
      <c r="BF16" s="201">
        <v>2.1730737683046161E-2</v>
      </c>
      <c r="BH16" s="201">
        <v>0.88522999999999996</v>
      </c>
      <c r="BI16" s="201">
        <v>5.0212933476323886E-3</v>
      </c>
      <c r="BJ16" s="201">
        <v>10.038294857025214</v>
      </c>
      <c r="BK16" s="201">
        <v>2.1069234358668518E-2</v>
      </c>
      <c r="BM16" s="201">
        <v>0.91007000000000005</v>
      </c>
      <c r="BN16" s="201">
        <v>5.4149811896112791E-3</v>
      </c>
      <c r="BO16" s="201">
        <v>9.3084761372497997</v>
      </c>
      <c r="BP16" s="201">
        <v>2.070137284544404E-2</v>
      </c>
      <c r="BR16" s="201">
        <v>0.93137999999999999</v>
      </c>
      <c r="BS16" s="201">
        <v>5.8004842483076685E-3</v>
      </c>
      <c r="BT16" s="201">
        <v>8.6898301985492346</v>
      </c>
      <c r="BU16" s="201">
        <v>2.0536003545992016E-2</v>
      </c>
      <c r="BW16" s="201"/>
      <c r="BX16" s="201"/>
      <c r="BY16" s="201"/>
      <c r="BZ16" s="201"/>
      <c r="CB16" s="201"/>
      <c r="CC16" s="201"/>
      <c r="CD16" s="201"/>
      <c r="CE16" s="201"/>
      <c r="CG16" s="201"/>
      <c r="CH16" s="201"/>
      <c r="CI16" s="201"/>
      <c r="CJ16" s="201"/>
    </row>
    <row r="17" spans="34:88" x14ac:dyDescent="0.25">
      <c r="AH17" s="59"/>
      <c r="AI17" s="59"/>
      <c r="AJ17" s="255"/>
      <c r="AL17" s="200">
        <v>3747.37</v>
      </c>
      <c r="AM17" s="201">
        <v>5.6740000000000004</v>
      </c>
      <c r="AN17" s="201">
        <v>0.78676999999999997</v>
      </c>
      <c r="AO17" s="201">
        <v>3.0896621684007716E-3</v>
      </c>
      <c r="AP17" s="201">
        <v>16.314153599920342</v>
      </c>
      <c r="AQ17" s="201">
        <v>3.0941678571320928E-2</v>
      </c>
      <c r="AR17" s="195"/>
      <c r="AS17" s="201">
        <v>0.81869999999999998</v>
      </c>
      <c r="AT17" s="201">
        <v>3.410840362707712E-3</v>
      </c>
      <c r="AU17" s="201">
        <v>14.777948489837474</v>
      </c>
      <c r="AV17" s="201">
        <v>2.7615081614691683E-2</v>
      </c>
      <c r="AX17" s="201">
        <v>0.84975000000000001</v>
      </c>
      <c r="AY17" s="201">
        <v>3.7434137141515249E-3</v>
      </c>
      <c r="AZ17" s="201">
        <v>13.465042080869194</v>
      </c>
      <c r="BA17" s="201">
        <v>2.5403088268091897E-2</v>
      </c>
      <c r="BC17" s="201">
        <v>0.87853000000000003</v>
      </c>
      <c r="BD17" s="201">
        <v>4.0802950829515105E-3</v>
      </c>
      <c r="BE17" s="201">
        <v>12.353327924188308</v>
      </c>
      <c r="BF17" s="201">
        <v>2.3942027189466909E-2</v>
      </c>
      <c r="BH17" s="201">
        <v>0.90439000000000003</v>
      </c>
      <c r="BI17" s="201">
        <v>4.4166815464356775E-3</v>
      </c>
      <c r="BJ17" s="201">
        <v>11.412464914485593</v>
      </c>
      <c r="BK17" s="201">
        <v>2.2991525022993137E-2</v>
      </c>
      <c r="BM17" s="201">
        <v>0.92723</v>
      </c>
      <c r="BN17" s="201">
        <v>4.7499659152063084E-3</v>
      </c>
      <c r="BO17" s="201">
        <v>10.611702081016691</v>
      </c>
      <c r="BP17" s="201">
        <v>2.2392772238269121E-2</v>
      </c>
      <c r="BR17" s="201">
        <v>0.94718999999999998</v>
      </c>
      <c r="BS17" s="201">
        <v>5.0787321961802542E-3</v>
      </c>
      <c r="BT17" s="201">
        <v>9.9247649295356073</v>
      </c>
      <c r="BU17" s="201">
        <v>2.2041524096368753E-2</v>
      </c>
      <c r="BW17" s="201"/>
      <c r="BX17" s="201"/>
      <c r="BY17" s="201"/>
      <c r="BZ17" s="201"/>
      <c r="CB17" s="201"/>
      <c r="CC17" s="201"/>
      <c r="CD17" s="201"/>
      <c r="CE17" s="201"/>
      <c r="CG17" s="201"/>
      <c r="CH17" s="201"/>
      <c r="CI17" s="201"/>
      <c r="CJ17" s="201"/>
    </row>
    <row r="18" spans="34:88" x14ac:dyDescent="0.25">
      <c r="AH18" s="59"/>
      <c r="AI18" s="59"/>
      <c r="AJ18" s="255"/>
      <c r="AL18" s="200">
        <v>4268.42</v>
      </c>
      <c r="AM18" s="201">
        <v>6.4630000000000001</v>
      </c>
      <c r="AN18" s="201">
        <v>0.83157000000000003</v>
      </c>
      <c r="AO18" s="201">
        <v>2.8669587622586344E-3</v>
      </c>
      <c r="AP18" s="201">
        <v>17.581425952371607</v>
      </c>
      <c r="AQ18" s="201">
        <v>3.4304435387149675E-2</v>
      </c>
      <c r="AR18" s="195"/>
      <c r="AS18" s="201">
        <v>0.85665000000000002</v>
      </c>
      <c r="AT18" s="201">
        <v>3.1332817705380439E-3</v>
      </c>
      <c r="AU18" s="201">
        <v>16.087038089299451</v>
      </c>
      <c r="AV18" s="201">
        <v>3.0548578939204454E-2</v>
      </c>
      <c r="AX18" s="201">
        <v>0.88205</v>
      </c>
      <c r="AY18" s="201">
        <v>3.4113736269314331E-3</v>
      </c>
      <c r="AZ18" s="201">
        <v>14.775638408300992</v>
      </c>
      <c r="BA18" s="201">
        <v>2.7955490383301747E-2</v>
      </c>
      <c r="BC18" s="201">
        <v>0.90639999999999998</v>
      </c>
      <c r="BD18" s="201">
        <v>3.695849705511641E-3</v>
      </c>
      <c r="BE18" s="201">
        <v>13.638331426730788</v>
      </c>
      <c r="BF18" s="201">
        <v>2.61705712977666E-2</v>
      </c>
      <c r="BH18" s="201">
        <v>0.92891000000000001</v>
      </c>
      <c r="BI18" s="201">
        <v>3.9826615640760118E-3</v>
      </c>
      <c r="BJ18" s="201">
        <v>12.65616532466958</v>
      </c>
      <c r="BK18" s="201">
        <v>2.4950921465238501E-2</v>
      </c>
      <c r="BM18" s="201">
        <v>0.94923000000000002</v>
      </c>
      <c r="BN18" s="201">
        <v>4.2690761698708181E-3</v>
      </c>
      <c r="BO18" s="201">
        <v>11.807056417238485</v>
      </c>
      <c r="BP18" s="201">
        <v>2.4131098514450691E-2</v>
      </c>
      <c r="BR18" s="201">
        <v>0.96731</v>
      </c>
      <c r="BS18" s="201">
        <v>4.5534787649762669E-3</v>
      </c>
      <c r="BT18" s="201">
        <v>11.069607609648278</v>
      </c>
      <c r="BU18" s="201">
        <v>2.3597982646668979E-2</v>
      </c>
      <c r="BW18" s="201"/>
      <c r="BX18" s="201"/>
      <c r="BY18" s="201"/>
      <c r="BZ18" s="201"/>
      <c r="CB18" s="201"/>
      <c r="CC18" s="201"/>
      <c r="CD18" s="201"/>
      <c r="CE18" s="201"/>
      <c r="CG18" s="201"/>
      <c r="CH18" s="201"/>
      <c r="CI18" s="201"/>
      <c r="CJ18" s="201"/>
    </row>
    <row r="19" spans="34:88" x14ac:dyDescent="0.25">
      <c r="AH19" s="59"/>
      <c r="AI19" s="59"/>
      <c r="AJ19" s="255"/>
      <c r="AL19" s="200">
        <v>4789.47</v>
      </c>
      <c r="AM19" s="201">
        <v>7.2519</v>
      </c>
      <c r="AN19" s="201">
        <v>0.87907000000000002</v>
      </c>
      <c r="AO19" s="201">
        <v>2.7010074434123186E-3</v>
      </c>
      <c r="AP19" s="201">
        <v>18.661638015878136</v>
      </c>
      <c r="AQ19" s="201">
        <v>3.7505788300898298E-2</v>
      </c>
      <c r="AR19" s="195"/>
      <c r="AS19" s="201">
        <v>0.89810000000000001</v>
      </c>
      <c r="AT19" s="201">
        <v>2.9275236891207861E-3</v>
      </c>
      <c r="AU19" s="201">
        <v>17.217699509817177</v>
      </c>
      <c r="AV19" s="201">
        <v>3.3385438795322277E-2</v>
      </c>
      <c r="AX19" s="201">
        <v>0.91827000000000003</v>
      </c>
      <c r="AY19" s="201">
        <v>3.1650907616082779E-3</v>
      </c>
      <c r="AZ19" s="201">
        <v>15.925364226061157</v>
      </c>
      <c r="BA19" s="201">
        <v>3.0461366071070129E-2</v>
      </c>
      <c r="BC19" s="201">
        <v>0.93828</v>
      </c>
      <c r="BD19" s="201">
        <v>3.409624501249616E-3</v>
      </c>
      <c r="BE19" s="201">
        <v>14.783218260157327</v>
      </c>
      <c r="BF19" s="201">
        <v>2.838744134240322E-2</v>
      </c>
      <c r="BH19" s="201">
        <v>0.95730000000000004</v>
      </c>
      <c r="BI19" s="201">
        <v>3.6578636467082988E-3</v>
      </c>
      <c r="BJ19" s="201">
        <v>13.779962310107608</v>
      </c>
      <c r="BK19" s="201">
        <v>2.692106069224192E-2</v>
      </c>
      <c r="BM19" s="201">
        <v>0.97485999999999995</v>
      </c>
      <c r="BN19" s="201">
        <v>3.9073686531773512E-3</v>
      </c>
      <c r="BO19" s="201">
        <v>12.900042883377582</v>
      </c>
      <c r="BP19" s="201">
        <v>2.5893235615722997E-2</v>
      </c>
      <c r="BR19" s="201">
        <v>0.99075999999999997</v>
      </c>
      <c r="BS19" s="201">
        <v>4.1564809216886201E-3</v>
      </c>
      <c r="BT19" s="201">
        <v>12.126898724384233</v>
      </c>
      <c r="BU19" s="201">
        <v>2.5185691287791828E-2</v>
      </c>
      <c r="BW19" s="201"/>
      <c r="BX19" s="201"/>
      <c r="BY19" s="201"/>
      <c r="BZ19" s="201"/>
      <c r="CB19" s="201"/>
      <c r="CC19" s="201"/>
      <c r="CD19" s="201"/>
      <c r="CE19" s="201"/>
      <c r="CG19" s="201"/>
      <c r="CH19" s="201"/>
      <c r="CI19" s="201"/>
      <c r="CJ19" s="201"/>
    </row>
    <row r="20" spans="34:88" x14ac:dyDescent="0.25">
      <c r="AL20" s="200">
        <v>5310.53</v>
      </c>
      <c r="AM20" s="201">
        <v>8.0409000000000006</v>
      </c>
      <c r="AN20" s="201">
        <v>0.92811999999999995</v>
      </c>
      <c r="AO20" s="201">
        <v>2.5719116397045112E-3</v>
      </c>
      <c r="AP20" s="201">
        <v>19.598349495764261</v>
      </c>
      <c r="AQ20" s="201">
        <v>4.0559572936861264E-2</v>
      </c>
      <c r="AR20" s="195"/>
      <c r="AS20" s="201">
        <v>0.94172999999999996</v>
      </c>
      <c r="AT20" s="201">
        <v>2.7685458353497671E-3</v>
      </c>
      <c r="AU20" s="201">
        <v>18.206389268893986</v>
      </c>
      <c r="AV20" s="201">
        <v>3.6122950259071571E-2</v>
      </c>
      <c r="AX20" s="201">
        <v>0.95706999999999998</v>
      </c>
      <c r="AY20" s="201">
        <v>2.9751513659339716E-3</v>
      </c>
      <c r="AZ20" s="201">
        <v>16.942070162984706</v>
      </c>
      <c r="BA20" s="201">
        <v>3.2908729903266425E-2</v>
      </c>
      <c r="BC20" s="201">
        <v>0.97294000000000003</v>
      </c>
      <c r="BD20" s="201">
        <v>3.1886712305551424E-3</v>
      </c>
      <c r="BE20" s="201">
        <v>15.807594933008403</v>
      </c>
      <c r="BF20" s="201">
        <v>3.0576065628856897E-2</v>
      </c>
      <c r="BH20" s="201">
        <v>0.98850000000000005</v>
      </c>
      <c r="BI20" s="201">
        <v>3.4064790143356685E-3</v>
      </c>
      <c r="BJ20" s="201">
        <v>14.796868841707266</v>
      </c>
      <c r="BK20" s="201">
        <v>2.8884188335931975E-2</v>
      </c>
      <c r="BM20" s="201">
        <v>1.0032000000000001</v>
      </c>
      <c r="BN20" s="201">
        <v>3.626429603071633E-3</v>
      </c>
      <c r="BO20" s="201">
        <v>13.899407600373451</v>
      </c>
      <c r="BP20" s="201">
        <v>2.7662888329894126E-2</v>
      </c>
      <c r="BR20" s="201">
        <v>1.01677</v>
      </c>
      <c r="BS20" s="201">
        <v>3.8470660386063157E-3</v>
      </c>
      <c r="BT20" s="201">
        <v>13.102250567399548</v>
      </c>
      <c r="BU20" s="201">
        <v>2.6789909524825531E-2</v>
      </c>
      <c r="BW20" s="201"/>
      <c r="BX20" s="201"/>
      <c r="BY20" s="201"/>
      <c r="BZ20" s="201"/>
      <c r="CB20" s="201"/>
      <c r="CC20" s="201"/>
      <c r="CD20" s="201"/>
      <c r="CE20" s="201"/>
      <c r="CG20" s="201"/>
      <c r="CH20" s="201"/>
      <c r="CI20" s="201"/>
      <c r="CJ20" s="201"/>
    </row>
    <row r="21" spans="34:88" x14ac:dyDescent="0.25">
      <c r="AL21" s="200">
        <v>5831.58</v>
      </c>
      <c r="AM21" s="201">
        <v>8.8298000000000005</v>
      </c>
      <c r="AN21" s="201">
        <v>0.97804000000000002</v>
      </c>
      <c r="AO21" s="201">
        <v>2.4680852599124076E-3</v>
      </c>
      <c r="AP21" s="201">
        <v>20.422804676100217</v>
      </c>
      <c r="AQ21" s="201">
        <v>4.3481653733302532E-2</v>
      </c>
      <c r="AR21" s="195"/>
      <c r="AS21" s="201">
        <v>0.98670999999999998</v>
      </c>
      <c r="AT21" s="201">
        <v>2.6415964407016049E-3</v>
      </c>
      <c r="AU21" s="201">
        <v>19.081348842885923</v>
      </c>
      <c r="AV21" s="201">
        <v>3.8765633975627413E-2</v>
      </c>
      <c r="AX21" s="201">
        <v>0.99758999999999998</v>
      </c>
      <c r="AY21" s="201">
        <v>2.8240285222872704E-3</v>
      </c>
      <c r="AZ21" s="201">
        <v>17.848694795167418</v>
      </c>
      <c r="BA21" s="201">
        <v>3.5292888393075809E-2</v>
      </c>
      <c r="BC21" s="201">
        <v>1.0095400000000001</v>
      </c>
      <c r="BD21" s="201">
        <v>3.0129980091158832E-3</v>
      </c>
      <c r="BE21" s="201">
        <v>16.729258709979618</v>
      </c>
      <c r="BF21" s="201">
        <v>3.2727256863665649E-2</v>
      </c>
      <c r="BH21" s="201">
        <v>1.02172</v>
      </c>
      <c r="BI21" s="201">
        <v>3.2063621088395705E-3</v>
      </c>
      <c r="BJ21" s="201">
        <v>15.720377635511518</v>
      </c>
      <c r="BK21" s="201">
        <v>3.0829741909805371E-2</v>
      </c>
      <c r="BM21" s="201">
        <v>1.0335700000000001</v>
      </c>
      <c r="BN21" s="201">
        <v>3.4023834069554625E-3</v>
      </c>
      <c r="BO21" s="201">
        <v>14.814680521927713</v>
      </c>
      <c r="BP21" s="201">
        <v>2.9428553544960351E-2</v>
      </c>
      <c r="BR21" s="201">
        <v>1.0447500000000001</v>
      </c>
      <c r="BS21" s="201">
        <v>3.5997382784768452E-3</v>
      </c>
      <c r="BT21" s="201">
        <v>14.002468870731642</v>
      </c>
      <c r="BU21" s="201">
        <v>2.8399636059315621E-2</v>
      </c>
      <c r="BW21" s="201"/>
      <c r="BX21" s="201"/>
      <c r="BY21" s="201"/>
      <c r="BZ21" s="201"/>
      <c r="CB21" s="201"/>
      <c r="CC21" s="201"/>
      <c r="CD21" s="201"/>
      <c r="CE21" s="201"/>
      <c r="CG21" s="201"/>
      <c r="CH21" s="201"/>
      <c r="CI21" s="201"/>
      <c r="CJ21" s="201"/>
    </row>
    <row r="22" spans="34:88" x14ac:dyDescent="0.25">
      <c r="AL22" s="200">
        <v>6352.63</v>
      </c>
      <c r="AM22" s="201">
        <v>9.6188000000000002</v>
      </c>
      <c r="AN22" s="201">
        <v>1.0284500000000001</v>
      </c>
      <c r="AO22" s="201">
        <v>2.382425892897902E-3</v>
      </c>
      <c r="AP22" s="201">
        <v>21.157100137894293</v>
      </c>
      <c r="AQ22" s="201">
        <v>4.6284676576162601E-2</v>
      </c>
      <c r="AR22" s="195"/>
      <c r="AS22" s="201">
        <v>1.0325599999999999</v>
      </c>
      <c r="AT22" s="201">
        <v>2.5376102202289965E-3</v>
      </c>
      <c r="AU22" s="201">
        <v>19.863264572840709</v>
      </c>
      <c r="AV22" s="201">
        <v>4.1317768094453061E-2</v>
      </c>
      <c r="AX22" s="201">
        <v>1.0392699999999999</v>
      </c>
      <c r="AY22" s="201">
        <v>2.7007106636673839E-3</v>
      </c>
      <c r="AZ22" s="201">
        <v>18.663688733952057</v>
      </c>
      <c r="BA22" s="201">
        <v>3.7613181353469881E-2</v>
      </c>
      <c r="BC22" s="201">
        <v>1.0475000000000001</v>
      </c>
      <c r="BD22" s="201">
        <v>2.8698686606964362E-3</v>
      </c>
      <c r="BE22" s="201">
        <v>17.563599295488739</v>
      </c>
      <c r="BF22" s="201">
        <v>3.4836722767418934E-2</v>
      </c>
      <c r="BH22" s="201">
        <v>1.05643</v>
      </c>
      <c r="BI22" s="201">
        <v>3.0433652340316787E-3</v>
      </c>
      <c r="BJ22" s="201">
        <v>16.562331271813584</v>
      </c>
      <c r="BK22" s="201">
        <v>3.275035713371767E-2</v>
      </c>
      <c r="BM22" s="201">
        <v>1.0654699999999999</v>
      </c>
      <c r="BN22" s="201">
        <v>3.2197137267032175E-3</v>
      </c>
      <c r="BO22" s="201">
        <v>15.655187841424921</v>
      </c>
      <c r="BP22" s="201">
        <v>3.1182396568103066E-2</v>
      </c>
      <c r="BR22" s="201">
        <v>1.0742400000000001</v>
      </c>
      <c r="BS22" s="201">
        <v>3.39775877392513E-3</v>
      </c>
      <c r="BT22" s="201">
        <v>14.834844537513895</v>
      </c>
      <c r="BU22" s="201">
        <v>3.0007254727483619E-2</v>
      </c>
      <c r="BW22" s="201"/>
      <c r="BX22" s="201"/>
      <c r="BY22" s="201"/>
      <c r="BZ22" s="201"/>
      <c r="CB22" s="201"/>
      <c r="CC22" s="201"/>
      <c r="CD22" s="201"/>
      <c r="CE22" s="201"/>
      <c r="CG22" s="201"/>
      <c r="CH22" s="201"/>
      <c r="CI22" s="201"/>
      <c r="CJ22" s="201"/>
    </row>
    <row r="23" spans="34:88" x14ac:dyDescent="0.25">
      <c r="AL23" s="200">
        <v>6873.68</v>
      </c>
      <c r="AM23" s="201">
        <v>10.4077</v>
      </c>
      <c r="AN23" s="201">
        <v>1.0791200000000001</v>
      </c>
      <c r="AO23" s="201">
        <v>2.3103097496537518E-3</v>
      </c>
      <c r="AP23" s="201">
        <v>21.817517410688076</v>
      </c>
      <c r="AQ23" s="201">
        <v>4.8979325296787758E-2</v>
      </c>
      <c r="AR23" s="195"/>
      <c r="AS23" s="201">
        <v>1.0789500000000001</v>
      </c>
      <c r="AT23" s="201">
        <v>2.4506155690983576E-3</v>
      </c>
      <c r="AU23" s="201">
        <v>20.568392620511453</v>
      </c>
      <c r="AV23" s="201">
        <v>4.3785753893955448E-2</v>
      </c>
      <c r="AX23" s="201">
        <v>1.0817300000000001</v>
      </c>
      <c r="AY23" s="201">
        <v>2.5979619965821317E-3</v>
      </c>
      <c r="AZ23" s="201">
        <v>19.401832379944757</v>
      </c>
      <c r="BA23" s="201">
        <v>3.9871217333764621E-2</v>
      </c>
      <c r="BC23" s="201">
        <v>1.08643</v>
      </c>
      <c r="BD23" s="201">
        <v>2.7508948532663723E-3</v>
      </c>
      <c r="BE23" s="201">
        <v>18.323209673864021</v>
      </c>
      <c r="BF23" s="201">
        <v>3.6902191899167984E-2</v>
      </c>
      <c r="BH23" s="201">
        <v>1.09222</v>
      </c>
      <c r="BI23" s="201">
        <v>2.9079552942043656E-3</v>
      </c>
      <c r="BJ23" s="201">
        <v>17.333561931853673</v>
      </c>
      <c r="BK23" s="201">
        <v>3.4642532001984298E-2</v>
      </c>
      <c r="BM23" s="201">
        <v>1.09853</v>
      </c>
      <c r="BN23" s="201">
        <v>3.0679777530619205E-3</v>
      </c>
      <c r="BO23" s="201">
        <v>16.429461764136789</v>
      </c>
      <c r="BP23" s="201">
        <v>3.2919067399056125E-2</v>
      </c>
      <c r="BR23" s="201">
        <v>1.1049100000000001</v>
      </c>
      <c r="BS23" s="201">
        <v>3.2298501865085367E-3</v>
      </c>
      <c r="BT23" s="201">
        <v>15.606056094397712</v>
      </c>
      <c r="BU23" s="201">
        <v>3.160675201838084E-2</v>
      </c>
      <c r="BW23" s="201"/>
      <c r="BX23" s="201"/>
      <c r="BY23" s="201"/>
      <c r="BZ23" s="201"/>
      <c r="CB23" s="201"/>
      <c r="CC23" s="201"/>
      <c r="CD23" s="201"/>
      <c r="CE23" s="201"/>
      <c r="CG23" s="201"/>
      <c r="CH23" s="201"/>
      <c r="CI23" s="201"/>
      <c r="CJ23" s="201"/>
    </row>
    <row r="24" spans="34:88" x14ac:dyDescent="0.25">
      <c r="AL24" s="200">
        <v>7394.74</v>
      </c>
      <c r="AM24" s="201">
        <v>11.1967</v>
      </c>
      <c r="AN24" s="201">
        <v>1.1298999999999999</v>
      </c>
      <c r="AO24" s="201">
        <v>2.2485724176914941E-3</v>
      </c>
      <c r="AP24" s="201">
        <v>22.416544288532126</v>
      </c>
      <c r="AQ24" s="201">
        <v>5.1575452890069887E-2</v>
      </c>
      <c r="AR24" s="195"/>
      <c r="AS24" s="201">
        <v>1.12568</v>
      </c>
      <c r="AT24" s="201">
        <v>2.3765952248940912E-3</v>
      </c>
      <c r="AU24" s="201">
        <v>21.209006337795429</v>
      </c>
      <c r="AV24" s="201">
        <v>4.6174680232167593E-2</v>
      </c>
      <c r="AX24" s="201">
        <v>1.12473</v>
      </c>
      <c r="AY24" s="201">
        <v>2.5108952782653617E-3</v>
      </c>
      <c r="AZ24" s="201">
        <v>20.07460192524449</v>
      </c>
      <c r="BA24" s="201">
        <v>4.2068495749299682E-2</v>
      </c>
      <c r="BC24" s="201">
        <v>1.12605</v>
      </c>
      <c r="BD24" s="201">
        <v>2.6503078167724623E-3</v>
      </c>
      <c r="BE24" s="201">
        <v>19.018629786383258</v>
      </c>
      <c r="BF24" s="201">
        <v>3.8923335302354901E-2</v>
      </c>
      <c r="BH24" s="201">
        <v>1.12883</v>
      </c>
      <c r="BI24" s="201">
        <v>2.7936535366129612E-3</v>
      </c>
      <c r="BJ24" s="201">
        <v>18.042761039103173</v>
      </c>
      <c r="BK24" s="201">
        <v>3.6503028816549023E-2</v>
      </c>
      <c r="BM24" s="201">
        <v>1.13246</v>
      </c>
      <c r="BN24" s="201">
        <v>2.9398796815934929E-3</v>
      </c>
      <c r="BO24" s="201">
        <v>17.145335403601337</v>
      </c>
      <c r="BP24" s="201">
        <v>3.4635590544008943E-2</v>
      </c>
      <c r="BR24" s="201">
        <v>1.1364799999999999</v>
      </c>
      <c r="BS24" s="201">
        <v>3.088045372792011E-3</v>
      </c>
      <c r="BT24" s="201">
        <v>16.322695136302347</v>
      </c>
      <c r="BU24" s="201">
        <v>3.3194684972690194E-2</v>
      </c>
      <c r="BW24" s="201"/>
      <c r="BX24" s="201"/>
      <c r="BY24" s="201"/>
      <c r="BZ24" s="201"/>
      <c r="CB24" s="201"/>
      <c r="CC24" s="201"/>
      <c r="CD24" s="201"/>
      <c r="CE24" s="201"/>
      <c r="CG24" s="201"/>
      <c r="CH24" s="201"/>
      <c r="CI24" s="201"/>
      <c r="CJ24" s="201"/>
    </row>
    <row r="25" spans="34:88" x14ac:dyDescent="0.25">
      <c r="AL25" s="200">
        <v>7915.79</v>
      </c>
      <c r="AM25" s="201">
        <v>11.9856</v>
      </c>
      <c r="AN25" s="201">
        <v>1.18069</v>
      </c>
      <c r="AO25" s="201">
        <v>2.1949842075143478E-3</v>
      </c>
      <c r="AP25" s="201">
        <v>22.963820429593529</v>
      </c>
      <c r="AQ25" s="201">
        <v>5.4081507170915026E-2</v>
      </c>
      <c r="AR25" s="195"/>
      <c r="AS25" s="201">
        <v>1.17259</v>
      </c>
      <c r="AT25" s="201">
        <v>2.3126776369341109E-3</v>
      </c>
      <c r="AU25" s="201">
        <v>21.795179052267198</v>
      </c>
      <c r="AV25" s="201">
        <v>4.8491013548216458E-2</v>
      </c>
      <c r="AX25" s="201">
        <v>1.1680900000000001</v>
      </c>
      <c r="AY25" s="201">
        <v>2.4360448020138655E-3</v>
      </c>
      <c r="AZ25" s="201">
        <v>20.6914187889662</v>
      </c>
      <c r="BA25" s="201">
        <v>4.4207607764253441E-2</v>
      </c>
      <c r="BC25" s="201">
        <v>1.1661699999999999</v>
      </c>
      <c r="BD25" s="201">
        <v>2.5640657173825981E-3</v>
      </c>
      <c r="BE25" s="201">
        <v>19.658319537381772</v>
      </c>
      <c r="BF25" s="201">
        <v>4.0899982731108384E-2</v>
      </c>
      <c r="BH25" s="201">
        <v>1.1660299999999999</v>
      </c>
      <c r="BI25" s="201">
        <v>2.6957671127371156E-3</v>
      </c>
      <c r="BJ25" s="201">
        <v>18.697914574666203</v>
      </c>
      <c r="BK25" s="201">
        <v>3.8331421437079509E-2</v>
      </c>
      <c r="BM25" s="201">
        <v>1.16706</v>
      </c>
      <c r="BN25" s="201">
        <v>2.8302742126812353E-3</v>
      </c>
      <c r="BO25" s="201">
        <v>17.809307296554209</v>
      </c>
      <c r="BP25" s="201">
        <v>3.6329359174781133E-2</v>
      </c>
      <c r="BR25" s="201">
        <v>1.1687700000000001</v>
      </c>
      <c r="BS25" s="201">
        <v>2.9667406045385232E-3</v>
      </c>
      <c r="BT25" s="201">
        <v>16.990101227604178</v>
      </c>
      <c r="BU25" s="201">
        <v>3.4767455936205047E-2</v>
      </c>
      <c r="BW25" s="201"/>
      <c r="BX25" s="201"/>
      <c r="BY25" s="201"/>
      <c r="BZ25" s="201"/>
      <c r="CB25" s="201"/>
      <c r="CC25" s="201"/>
      <c r="CD25" s="201"/>
      <c r="CE25" s="201"/>
      <c r="CG25" s="201"/>
      <c r="CH25" s="201"/>
      <c r="CI25" s="201"/>
      <c r="CJ25" s="201"/>
    </row>
    <row r="26" spans="34:88" x14ac:dyDescent="0.25">
      <c r="AL26" s="200">
        <v>8436.84</v>
      </c>
      <c r="AM26" s="201">
        <v>12.7746</v>
      </c>
      <c r="AN26" s="201">
        <v>1.23142</v>
      </c>
      <c r="AO26" s="201">
        <v>2.1479104404018567E-3</v>
      </c>
      <c r="AP26" s="201">
        <v>23.467097249046724</v>
      </c>
      <c r="AQ26" s="201">
        <v>5.6505606540286059E-2</v>
      </c>
      <c r="AR26" s="195"/>
      <c r="AS26" s="201">
        <v>1.2196100000000001</v>
      </c>
      <c r="AT26" s="201">
        <v>2.2568585617758936E-3</v>
      </c>
      <c r="AU26" s="201">
        <v>22.334241073348387</v>
      </c>
      <c r="AV26" s="201">
        <v>5.0737791392259438E-2</v>
      </c>
      <c r="AX26" s="201">
        <v>1.2116899999999999</v>
      </c>
      <c r="AY26" s="201">
        <v>2.3709092997694237E-3</v>
      </c>
      <c r="AZ26" s="201">
        <v>21.259869870203449</v>
      </c>
      <c r="BA26" s="201">
        <v>4.629107257894545E-2</v>
      </c>
      <c r="BC26" s="201">
        <v>1.20665</v>
      </c>
      <c r="BD26" s="201">
        <v>2.4892187033296828E-3</v>
      </c>
      <c r="BE26" s="201">
        <v>20.249415256172153</v>
      </c>
      <c r="BF26" s="201">
        <v>4.2832900461023359E-2</v>
      </c>
      <c r="BH26" s="201">
        <v>1.2036800000000001</v>
      </c>
      <c r="BI26" s="201">
        <v>2.6109475174749468E-3</v>
      </c>
      <c r="BJ26" s="201">
        <v>19.3053375641576</v>
      </c>
      <c r="BK26" s="201">
        <v>4.0126729050036537E-2</v>
      </c>
      <c r="BM26" s="201">
        <v>1.20217</v>
      </c>
      <c r="BN26" s="201">
        <v>2.735367403949029E-3</v>
      </c>
      <c r="BO26" s="201">
        <v>18.427222286257958</v>
      </c>
      <c r="BP26" s="201">
        <v>3.7999159957516022E-2</v>
      </c>
      <c r="BR26" s="201">
        <v>1.2016199999999999</v>
      </c>
      <c r="BS26" s="201">
        <v>2.861752819776125E-3</v>
      </c>
      <c r="BT26" s="201">
        <v>17.613409110258637</v>
      </c>
      <c r="BU26" s="201">
        <v>3.6323253080798951E-2</v>
      </c>
      <c r="BW26" s="201"/>
      <c r="BX26" s="201"/>
      <c r="BY26" s="201"/>
      <c r="BZ26" s="201"/>
      <c r="CB26" s="201"/>
      <c r="CC26" s="201"/>
      <c r="CD26" s="201"/>
      <c r="CE26" s="201"/>
      <c r="CG26" s="201"/>
      <c r="CH26" s="201"/>
      <c r="CI26" s="201"/>
      <c r="CJ26" s="201"/>
    </row>
    <row r="27" spans="34:88" x14ac:dyDescent="0.25">
      <c r="AL27" s="200">
        <v>8957.89</v>
      </c>
      <c r="AM27" s="201">
        <v>13.563499999999999</v>
      </c>
      <c r="AN27" s="201">
        <v>1.28207</v>
      </c>
      <c r="AO27" s="201">
        <v>2.1061814914003188E-3</v>
      </c>
      <c r="AP27" s="201">
        <v>23.932041655935667</v>
      </c>
      <c r="AQ27" s="201">
        <v>5.8852143159974203E-2</v>
      </c>
      <c r="AR27" s="195"/>
      <c r="AS27" s="201">
        <v>1.2666599999999999</v>
      </c>
      <c r="AT27" s="201">
        <v>2.2075853833882753E-3</v>
      </c>
      <c r="AU27" s="201">
        <v>22.832740045501446</v>
      </c>
      <c r="AV27" s="201">
        <v>5.2920422829579331E-2</v>
      </c>
      <c r="AX27" s="201">
        <v>1.25543</v>
      </c>
      <c r="AY27" s="201">
        <v>2.3136092223354681E-3</v>
      </c>
      <c r="AZ27" s="201">
        <v>21.786403123113278</v>
      </c>
      <c r="BA27" s="201">
        <v>4.8322319047627071E-2</v>
      </c>
      <c r="BC27" s="201">
        <v>1.2473700000000001</v>
      </c>
      <c r="BD27" s="201">
        <v>2.4235451836314139E-3</v>
      </c>
      <c r="BE27" s="201">
        <v>20.798136353136403</v>
      </c>
      <c r="BF27" s="201">
        <v>4.4724127801787826E-2</v>
      </c>
      <c r="BH27" s="201">
        <v>1.2416700000000001</v>
      </c>
      <c r="BI27" s="201">
        <v>2.5366898655821849E-3</v>
      </c>
      <c r="BJ27" s="201">
        <v>19.870471306347433</v>
      </c>
      <c r="BK27" s="201">
        <v>4.1888702227969372E-2</v>
      </c>
      <c r="BM27" s="201">
        <v>1.2376799999999999</v>
      </c>
      <c r="BN27" s="201">
        <v>2.6523586112354577E-3</v>
      </c>
      <c r="BO27" s="201">
        <v>19.003924647909727</v>
      </c>
      <c r="BP27" s="201">
        <v>3.9643775530938362E-2</v>
      </c>
      <c r="BR27" s="201">
        <v>1.23491</v>
      </c>
      <c r="BS27" s="201">
        <v>2.7699655421086888E-3</v>
      </c>
      <c r="BT27" s="201">
        <v>18.197057840936608</v>
      </c>
      <c r="BU27" s="201">
        <v>3.7860682712324518E-2</v>
      </c>
      <c r="BW27" s="201"/>
      <c r="BX27" s="201"/>
      <c r="BY27" s="201"/>
      <c r="BZ27" s="201"/>
      <c r="CB27" s="201"/>
      <c r="CC27" s="201"/>
      <c r="CD27" s="201"/>
      <c r="CE27" s="201"/>
      <c r="CG27" s="201"/>
      <c r="CH27" s="201"/>
      <c r="CI27" s="201"/>
      <c r="CJ27" s="201"/>
    </row>
    <row r="28" spans="34:88" x14ac:dyDescent="0.25">
      <c r="AL28" s="200">
        <v>9478.9500000000007</v>
      </c>
      <c r="AM28" s="201">
        <v>14.352499999999999</v>
      </c>
      <c r="AN28" s="201">
        <v>1.3326</v>
      </c>
      <c r="AO28" s="201">
        <v>2.0688516766097509E-3</v>
      </c>
      <c r="AP28" s="201">
        <v>24.363865112724131</v>
      </c>
      <c r="AQ28" s="201">
        <v>6.1128061495276519E-2</v>
      </c>
      <c r="AR28" s="195"/>
      <c r="AS28" s="201">
        <v>1.31369</v>
      </c>
      <c r="AT28" s="201">
        <v>2.1636939986320563E-3</v>
      </c>
      <c r="AU28" s="201">
        <v>23.2959111681322</v>
      </c>
      <c r="AV28" s="201">
        <v>5.5043338660060039E-2</v>
      </c>
      <c r="AX28" s="201">
        <v>1.2992600000000001</v>
      </c>
      <c r="AY28" s="201">
        <v>2.2627629818351893E-3</v>
      </c>
      <c r="AZ28" s="201">
        <v>22.27596243698159</v>
      </c>
      <c r="BA28" s="201">
        <v>5.0303086905126061E-2</v>
      </c>
      <c r="BC28" s="201">
        <v>1.28826</v>
      </c>
      <c r="BD28" s="201">
        <v>2.365401354580412E-3</v>
      </c>
      <c r="BE28" s="201">
        <v>21.309374449096101</v>
      </c>
      <c r="BF28" s="201">
        <v>4.6574693336394066E-2</v>
      </c>
      <c r="BH28" s="201">
        <v>1.27989</v>
      </c>
      <c r="BI28" s="201">
        <v>2.4710374313610681E-3</v>
      </c>
      <c r="BJ28" s="201">
        <v>20.398405361018558</v>
      </c>
      <c r="BK28" s="201">
        <v>4.3618945443065341E-2</v>
      </c>
      <c r="BM28" s="201">
        <v>1.27349</v>
      </c>
      <c r="BN28" s="201">
        <v>2.5790805185876772E-3</v>
      </c>
      <c r="BO28" s="201">
        <v>19.543873416854545</v>
      </c>
      <c r="BP28" s="201">
        <v>4.1263211926104167E-2</v>
      </c>
      <c r="BR28" s="201">
        <v>1.26854</v>
      </c>
      <c r="BS28" s="201">
        <v>2.6889870945621609E-3</v>
      </c>
      <c r="BT28" s="201">
        <v>18.745059538993601</v>
      </c>
      <c r="BU28" s="201">
        <v>3.9379130065137553E-2</v>
      </c>
      <c r="BW28" s="201"/>
      <c r="BX28" s="201"/>
      <c r="BY28" s="201"/>
      <c r="BZ28" s="201"/>
      <c r="CB28" s="201"/>
      <c r="CC28" s="201"/>
      <c r="CD28" s="201"/>
      <c r="CE28" s="201"/>
      <c r="CG28" s="201"/>
      <c r="CH28" s="201"/>
      <c r="CI28" s="201"/>
      <c r="CJ28" s="201"/>
    </row>
    <row r="29" spans="34:88" x14ac:dyDescent="0.25">
      <c r="AL29" s="200">
        <v>10000</v>
      </c>
      <c r="AM29" s="201">
        <v>15.141400000000001</v>
      </c>
      <c r="AN29" s="201">
        <v>1.383</v>
      </c>
      <c r="AO29" s="201">
        <v>2.0352228E-3</v>
      </c>
      <c r="AP29" s="201">
        <v>24.766439913680774</v>
      </c>
      <c r="AQ29" s="201">
        <v>6.3337312118207409E-2</v>
      </c>
      <c r="AR29" s="195"/>
      <c r="AS29" s="201">
        <v>1.3606799999999999</v>
      </c>
      <c r="AT29" s="201">
        <v>2.1243162939999999E-3</v>
      </c>
      <c r="AU29" s="201">
        <v>23.727739286997693</v>
      </c>
      <c r="AV29" s="201">
        <v>5.7108904177773492E-2</v>
      </c>
      <c r="AX29" s="201">
        <v>1.3431200000000001</v>
      </c>
      <c r="AY29" s="201">
        <v>2.2172672666666668E-3</v>
      </c>
      <c r="AZ29" s="201">
        <v>22.733038973208643</v>
      </c>
      <c r="BA29" s="201">
        <v>5.2236562579897339E-2</v>
      </c>
      <c r="BC29" s="201">
        <v>1.32927</v>
      </c>
      <c r="BD29" s="201">
        <v>2.3135279714999999E-3</v>
      </c>
      <c r="BE29" s="201">
        <v>21.787168259077664</v>
      </c>
      <c r="BF29" s="201">
        <v>4.8385339398645068E-2</v>
      </c>
      <c r="BH29" s="201">
        <v>1.3183</v>
      </c>
      <c r="BI29" s="201">
        <v>2.4125768866666663E-3</v>
      </c>
      <c r="BJ29" s="201">
        <v>20.892690908929101</v>
      </c>
      <c r="BK29" s="201">
        <v>4.5316512704691343E-2</v>
      </c>
      <c r="BM29" s="201">
        <v>1.3095300000000001</v>
      </c>
      <c r="BN29" s="201">
        <v>2.5138829154999999E-3</v>
      </c>
      <c r="BO29" s="201">
        <v>20.050744160106504</v>
      </c>
      <c r="BP29" s="201">
        <v>4.2857191559898651E-2</v>
      </c>
      <c r="BR29" s="201">
        <v>1.30244</v>
      </c>
      <c r="BS29" s="201">
        <v>2.6169926919999997E-3</v>
      </c>
      <c r="BT29" s="201">
        <v>19.260742814161873</v>
      </c>
      <c r="BU29" s="201">
        <v>4.0877763081890707E-2</v>
      </c>
      <c r="BW29" s="201"/>
      <c r="BX29" s="201"/>
      <c r="BY29" s="201"/>
      <c r="BZ29" s="201"/>
      <c r="CB29" s="201"/>
      <c r="CC29" s="201"/>
      <c r="CD29" s="201"/>
      <c r="CE29" s="201"/>
      <c r="CG29" s="201"/>
      <c r="CH29" s="201"/>
      <c r="CI29" s="201"/>
      <c r="CJ29" s="201"/>
    </row>
    <row r="30" spans="34:88" x14ac:dyDescent="0.25">
      <c r="AL30" s="200"/>
      <c r="AM30" s="201"/>
      <c r="AN30" s="201"/>
      <c r="AO30" s="201"/>
      <c r="AP30" s="201"/>
      <c r="AQ30" s="201"/>
      <c r="AS30" s="201"/>
      <c r="AT30" s="201"/>
      <c r="AU30" s="201"/>
      <c r="AV30" s="201"/>
      <c r="AX30" s="201"/>
      <c r="AY30" s="201"/>
      <c r="AZ30" s="201"/>
      <c r="BA30" s="201"/>
      <c r="BC30" s="201"/>
      <c r="BD30" s="201"/>
      <c r="BE30" s="201"/>
      <c r="BF30" s="201"/>
      <c r="BH30" s="201"/>
      <c r="BI30" s="201"/>
      <c r="BJ30" s="201"/>
      <c r="BK30" s="201"/>
      <c r="BM30" s="201"/>
      <c r="BN30" s="201"/>
      <c r="BO30" s="201"/>
      <c r="BP30" s="201"/>
      <c r="BR30" s="201"/>
      <c r="BS30" s="201"/>
      <c r="BT30" s="201"/>
      <c r="BU30" s="201"/>
      <c r="BW30" s="201"/>
      <c r="BX30" s="201"/>
      <c r="BY30" s="201"/>
      <c r="BZ30" s="201"/>
      <c r="CB30" s="201"/>
      <c r="CC30" s="201"/>
      <c r="CD30" s="201"/>
      <c r="CE30" s="201"/>
      <c r="CG30" s="201"/>
      <c r="CH30" s="201"/>
      <c r="CI30" s="201"/>
      <c r="CJ30" s="201"/>
    </row>
    <row r="31" spans="34:88" x14ac:dyDescent="0.25">
      <c r="AL31" s="200"/>
      <c r="AM31" s="201"/>
      <c r="AN31" s="201"/>
      <c r="AO31" s="201"/>
      <c r="AP31" s="201"/>
      <c r="AQ31" s="201"/>
      <c r="AS31" s="201"/>
      <c r="AT31" s="201"/>
      <c r="AU31" s="201"/>
      <c r="AV31" s="201"/>
      <c r="AX31" s="201"/>
      <c r="AY31" s="201"/>
      <c r="AZ31" s="201"/>
      <c r="BA31" s="201"/>
      <c r="BC31" s="201"/>
      <c r="BD31" s="201"/>
      <c r="BE31" s="201"/>
      <c r="BF31" s="201"/>
      <c r="BH31" s="201"/>
      <c r="BI31" s="201"/>
      <c r="BJ31" s="201"/>
      <c r="BK31" s="201"/>
      <c r="BM31" s="201"/>
      <c r="BN31" s="201"/>
      <c r="BO31" s="201"/>
      <c r="BP31" s="201"/>
      <c r="BR31" s="201"/>
      <c r="BS31" s="201"/>
      <c r="BT31" s="201"/>
      <c r="BU31" s="201"/>
      <c r="BW31" s="201"/>
      <c r="BX31" s="201"/>
      <c r="BY31" s="201"/>
      <c r="BZ31" s="201"/>
      <c r="CB31" s="201"/>
      <c r="CC31" s="201"/>
      <c r="CD31" s="201"/>
      <c r="CE31" s="201"/>
      <c r="CG31" s="201"/>
      <c r="CH31" s="201"/>
      <c r="CI31" s="201"/>
      <c r="CJ31" s="201"/>
    </row>
    <row r="32" spans="34:88" x14ac:dyDescent="0.25">
      <c r="AL32" s="200"/>
      <c r="AM32" s="201"/>
      <c r="AN32" s="201"/>
      <c r="AO32" s="201"/>
      <c r="AP32" s="201"/>
      <c r="AQ32" s="201"/>
      <c r="AS32" s="201"/>
      <c r="AT32" s="201"/>
      <c r="AU32" s="201"/>
      <c r="AV32" s="201"/>
      <c r="AX32" s="201"/>
      <c r="AY32" s="201"/>
      <c r="AZ32" s="201"/>
      <c r="BA32" s="201"/>
      <c r="BC32" s="201"/>
      <c r="BD32" s="201"/>
      <c r="BE32" s="201"/>
      <c r="BF32" s="201"/>
      <c r="BH32" s="201"/>
      <c r="BI32" s="201"/>
      <c r="BJ32" s="201"/>
      <c r="BK32" s="201"/>
      <c r="BM32" s="201"/>
      <c r="BN32" s="201"/>
      <c r="BO32" s="201"/>
      <c r="BP32" s="201"/>
      <c r="BR32" s="201"/>
      <c r="BS32" s="201"/>
      <c r="BT32" s="201"/>
      <c r="BU32" s="201"/>
      <c r="BW32" s="201"/>
      <c r="BX32" s="201"/>
      <c r="BY32" s="201"/>
      <c r="BZ32" s="201"/>
      <c r="CB32" s="201"/>
      <c r="CC32" s="201"/>
      <c r="CD32" s="201"/>
      <c r="CE32" s="201"/>
      <c r="CG32" s="201"/>
      <c r="CH32" s="201"/>
      <c r="CI32" s="201"/>
      <c r="CJ32" s="201"/>
    </row>
    <row r="33" spans="38:88" x14ac:dyDescent="0.25">
      <c r="AL33" s="200"/>
      <c r="AM33" s="201"/>
      <c r="AN33" s="201"/>
      <c r="AO33" s="201"/>
      <c r="AP33" s="201"/>
      <c r="AQ33" s="201"/>
      <c r="AS33" s="201"/>
      <c r="AT33" s="201"/>
      <c r="AU33" s="201"/>
      <c r="AV33" s="201"/>
      <c r="AX33" s="201"/>
      <c r="AY33" s="201"/>
      <c r="AZ33" s="201"/>
      <c r="BA33" s="201"/>
      <c r="BC33" s="201"/>
      <c r="BD33" s="201"/>
      <c r="BE33" s="201"/>
      <c r="BF33" s="201"/>
      <c r="BH33" s="201"/>
      <c r="BI33" s="201"/>
      <c r="BJ33" s="201"/>
      <c r="BK33" s="201"/>
      <c r="BM33" s="201"/>
      <c r="BN33" s="201"/>
      <c r="BO33" s="201"/>
      <c r="BP33" s="201"/>
      <c r="BR33" s="201"/>
      <c r="BS33" s="201"/>
      <c r="BT33" s="201"/>
      <c r="BU33" s="201"/>
      <c r="BW33" s="201"/>
      <c r="BX33" s="201"/>
      <c r="BY33" s="201"/>
      <c r="BZ33" s="201"/>
      <c r="CB33" s="201"/>
      <c r="CC33" s="201"/>
      <c r="CD33" s="201"/>
      <c r="CE33" s="201"/>
      <c r="CG33" s="201"/>
      <c r="CH33" s="201"/>
      <c r="CI33" s="201"/>
      <c r="CJ33" s="201"/>
    </row>
    <row r="34" spans="38:88" x14ac:dyDescent="0.25">
      <c r="AL34" s="200"/>
      <c r="AM34" s="201"/>
      <c r="AN34" s="201"/>
      <c r="AO34" s="201"/>
      <c r="AP34" s="201"/>
      <c r="AQ34" s="201"/>
      <c r="AS34" s="201"/>
      <c r="AT34" s="201"/>
      <c r="AU34" s="201"/>
      <c r="AV34" s="201"/>
      <c r="AX34" s="201"/>
      <c r="AY34" s="201"/>
      <c r="AZ34" s="201"/>
      <c r="BA34" s="201"/>
      <c r="BC34" s="201"/>
      <c r="BD34" s="201"/>
      <c r="BE34" s="201"/>
      <c r="BF34" s="201"/>
      <c r="BH34" s="201"/>
      <c r="BI34" s="201"/>
      <c r="BJ34" s="201"/>
      <c r="BK34" s="201"/>
      <c r="BM34" s="201"/>
      <c r="BN34" s="201"/>
      <c r="BO34" s="201"/>
      <c r="BP34" s="201"/>
      <c r="BR34" s="201"/>
      <c r="BS34" s="201"/>
      <c r="BT34" s="201"/>
      <c r="BU34" s="201"/>
      <c r="BW34" s="201"/>
      <c r="BX34" s="201"/>
      <c r="BY34" s="201"/>
      <c r="BZ34" s="201"/>
      <c r="CB34" s="201"/>
      <c r="CC34" s="201"/>
      <c r="CD34" s="201"/>
      <c r="CE34" s="201"/>
      <c r="CG34" s="201"/>
      <c r="CH34" s="201"/>
      <c r="CI34" s="201"/>
      <c r="CJ34" s="201"/>
    </row>
    <row r="35" spans="38:88" x14ac:dyDescent="0.25">
      <c r="AL35" s="200"/>
      <c r="AM35" s="201"/>
      <c r="AN35" s="201"/>
      <c r="AO35" s="201"/>
      <c r="AP35" s="201"/>
      <c r="AQ35" s="201"/>
      <c r="AS35" s="201"/>
      <c r="AT35" s="201"/>
      <c r="AU35" s="201"/>
      <c r="AV35" s="201"/>
      <c r="AX35" s="201"/>
      <c r="AY35" s="201"/>
      <c r="AZ35" s="201"/>
      <c r="BA35" s="201"/>
      <c r="BC35" s="201"/>
      <c r="BD35" s="201"/>
      <c r="BE35" s="201"/>
      <c r="BF35" s="201"/>
      <c r="BH35" s="201"/>
      <c r="BI35" s="201"/>
      <c r="BJ35" s="201"/>
      <c r="BK35" s="201"/>
      <c r="BM35" s="201"/>
      <c r="BN35" s="201"/>
      <c r="BO35" s="201"/>
      <c r="BP35" s="201"/>
      <c r="BR35" s="201"/>
      <c r="BS35" s="201"/>
      <c r="BT35" s="201"/>
      <c r="BU35" s="201"/>
      <c r="BW35" s="201"/>
      <c r="BX35" s="201"/>
      <c r="BY35" s="201"/>
      <c r="BZ35" s="201"/>
      <c r="CB35" s="201"/>
      <c r="CC35" s="201"/>
      <c r="CD35" s="201"/>
      <c r="CE35" s="201"/>
      <c r="CG35" s="201"/>
      <c r="CH35" s="201"/>
      <c r="CI35" s="201"/>
      <c r="CJ35" s="201"/>
    </row>
    <row r="36" spans="38:88" x14ac:dyDescent="0.25">
      <c r="AL36" s="200"/>
      <c r="AM36" s="201"/>
      <c r="AN36" s="201"/>
      <c r="AO36" s="201"/>
      <c r="AP36" s="201"/>
      <c r="AQ36" s="201"/>
      <c r="AS36" s="201"/>
      <c r="AT36" s="201"/>
      <c r="AU36" s="201"/>
      <c r="AV36" s="201"/>
      <c r="AX36" s="201"/>
      <c r="AY36" s="201"/>
      <c r="AZ36" s="201"/>
      <c r="BA36" s="201"/>
      <c r="BC36" s="201"/>
      <c r="BD36" s="201"/>
      <c r="BE36" s="201"/>
      <c r="BF36" s="201"/>
      <c r="BH36" s="201"/>
      <c r="BI36" s="201"/>
      <c r="BJ36" s="201"/>
      <c r="BK36" s="201"/>
      <c r="BM36" s="201"/>
      <c r="BN36" s="201"/>
      <c r="BO36" s="201"/>
      <c r="BP36" s="201"/>
      <c r="BR36" s="201"/>
      <c r="BS36" s="201"/>
      <c r="BT36" s="201"/>
      <c r="BU36" s="201"/>
      <c r="BW36" s="201"/>
      <c r="BX36" s="201"/>
      <c r="BY36" s="201"/>
      <c r="BZ36" s="201"/>
      <c r="CB36" s="201"/>
      <c r="CC36" s="201"/>
      <c r="CD36" s="201"/>
      <c r="CE36" s="201"/>
      <c r="CG36" s="201"/>
      <c r="CH36" s="201"/>
      <c r="CI36" s="201"/>
      <c r="CJ36" s="201"/>
    </row>
    <row r="37" spans="38:88" x14ac:dyDescent="0.25">
      <c r="AL37" s="200"/>
      <c r="AM37" s="201"/>
      <c r="AN37" s="201"/>
      <c r="AO37" s="201"/>
      <c r="AP37" s="201"/>
      <c r="AQ37" s="201"/>
      <c r="AS37" s="201"/>
      <c r="AT37" s="201"/>
      <c r="AU37" s="201"/>
      <c r="AV37" s="201"/>
      <c r="AX37" s="201"/>
      <c r="AY37" s="201"/>
      <c r="AZ37" s="201"/>
      <c r="BA37" s="201"/>
      <c r="BC37" s="201"/>
      <c r="BD37" s="201"/>
      <c r="BE37" s="201"/>
      <c r="BF37" s="201"/>
      <c r="BH37" s="201"/>
      <c r="BI37" s="201"/>
      <c r="BJ37" s="201"/>
      <c r="BK37" s="201"/>
      <c r="BM37" s="201"/>
      <c r="BN37" s="201"/>
      <c r="BO37" s="201"/>
      <c r="BP37" s="201"/>
      <c r="BR37" s="201"/>
      <c r="BS37" s="201"/>
      <c r="BT37" s="201"/>
      <c r="BU37" s="201"/>
      <c r="BW37" s="201"/>
      <c r="BX37" s="201"/>
      <c r="BY37" s="201"/>
      <c r="BZ37" s="201"/>
      <c r="CB37" s="201"/>
      <c r="CC37" s="201"/>
      <c r="CD37" s="201"/>
      <c r="CE37" s="201"/>
      <c r="CG37" s="201"/>
      <c r="CH37" s="201"/>
      <c r="CI37" s="201"/>
      <c r="CJ37" s="201"/>
    </row>
    <row r="38" spans="38:88" x14ac:dyDescent="0.25">
      <c r="AL38" s="200"/>
      <c r="AM38" s="201"/>
      <c r="AN38" s="201"/>
      <c r="AO38" s="201"/>
      <c r="AP38" s="201"/>
      <c r="AQ38" s="201"/>
      <c r="AS38" s="201"/>
      <c r="AT38" s="201"/>
      <c r="AU38" s="201"/>
      <c r="AV38" s="201"/>
      <c r="AX38" s="201"/>
      <c r="AY38" s="201"/>
      <c r="AZ38" s="201"/>
      <c r="BA38" s="201"/>
      <c r="BC38" s="201"/>
      <c r="BD38" s="201"/>
      <c r="BE38" s="201"/>
      <c r="BF38" s="201"/>
      <c r="BH38" s="201"/>
      <c r="BI38" s="201"/>
      <c r="BJ38" s="201"/>
      <c r="BK38" s="201"/>
      <c r="BM38" s="201"/>
      <c r="BN38" s="201"/>
      <c r="BO38" s="201"/>
      <c r="BP38" s="201"/>
      <c r="BR38" s="201"/>
      <c r="BS38" s="201"/>
      <c r="BT38" s="201"/>
      <c r="BU38" s="201"/>
      <c r="BW38" s="201"/>
      <c r="BX38" s="201"/>
      <c r="BY38" s="201"/>
      <c r="BZ38" s="201"/>
      <c r="CB38" s="201"/>
      <c r="CC38" s="201"/>
      <c r="CD38" s="201"/>
      <c r="CE38" s="201"/>
      <c r="CG38" s="201"/>
      <c r="CH38" s="201"/>
      <c r="CI38" s="201"/>
      <c r="CJ38" s="201"/>
    </row>
    <row r="39" spans="38:88" x14ac:dyDescent="0.25">
      <c r="AL39" s="200"/>
      <c r="AM39" s="201"/>
      <c r="AN39" s="201"/>
      <c r="AO39" s="201"/>
      <c r="AP39" s="201"/>
      <c r="AQ39" s="201"/>
      <c r="AS39" s="201"/>
      <c r="AT39" s="201"/>
      <c r="AU39" s="201"/>
      <c r="AV39" s="201"/>
      <c r="AX39" s="201"/>
      <c r="AY39" s="201"/>
      <c r="AZ39" s="201"/>
      <c r="BA39" s="201"/>
      <c r="BC39" s="201"/>
      <c r="BD39" s="201"/>
      <c r="BE39" s="201"/>
      <c r="BF39" s="201"/>
      <c r="BH39" s="201"/>
      <c r="BI39" s="201"/>
      <c r="BJ39" s="201"/>
      <c r="BK39" s="201"/>
      <c r="BM39" s="201"/>
      <c r="BN39" s="201"/>
      <c r="BO39" s="201"/>
      <c r="BP39" s="201"/>
      <c r="BR39" s="201"/>
      <c r="BS39" s="201"/>
      <c r="BT39" s="201"/>
      <c r="BU39" s="201"/>
      <c r="BW39" s="201"/>
      <c r="BX39" s="201"/>
      <c r="BY39" s="201"/>
      <c r="BZ39" s="201"/>
      <c r="CB39" s="201"/>
      <c r="CC39" s="201"/>
      <c r="CD39" s="201"/>
      <c r="CE39" s="201"/>
      <c r="CG39" s="201"/>
      <c r="CH39" s="201"/>
      <c r="CI39" s="201"/>
      <c r="CJ39" s="201"/>
    </row>
    <row r="40" spans="38:88" x14ac:dyDescent="0.25">
      <c r="AL40" s="200"/>
      <c r="AM40" s="201"/>
      <c r="AN40" s="201"/>
      <c r="AO40" s="201"/>
      <c r="AP40" s="201"/>
      <c r="AQ40" s="201"/>
      <c r="AS40" s="201"/>
      <c r="AT40" s="201"/>
      <c r="AU40" s="201"/>
      <c r="AV40" s="201"/>
      <c r="AX40" s="201"/>
      <c r="AY40" s="201"/>
      <c r="AZ40" s="201"/>
      <c r="BA40" s="201"/>
      <c r="BC40" s="201"/>
      <c r="BD40" s="201"/>
      <c r="BE40" s="201"/>
      <c r="BF40" s="201"/>
      <c r="BH40" s="201"/>
      <c r="BI40" s="201"/>
      <c r="BJ40" s="201"/>
      <c r="BK40" s="201"/>
      <c r="BM40" s="201"/>
      <c r="BN40" s="201"/>
      <c r="BO40" s="201"/>
      <c r="BP40" s="201"/>
      <c r="BR40" s="201"/>
      <c r="BS40" s="201"/>
      <c r="BT40" s="201"/>
      <c r="BU40" s="201"/>
      <c r="BW40" s="201"/>
      <c r="BX40" s="201"/>
      <c r="BY40" s="201"/>
      <c r="BZ40" s="201"/>
      <c r="CB40" s="201"/>
      <c r="CC40" s="201"/>
      <c r="CD40" s="201"/>
      <c r="CE40" s="201"/>
      <c r="CG40" s="201"/>
      <c r="CH40" s="201"/>
      <c r="CI40" s="201"/>
      <c r="CJ40" s="201"/>
    </row>
    <row r="41" spans="38:88" x14ac:dyDescent="0.25">
      <c r="AL41" s="200"/>
      <c r="AM41" s="201"/>
      <c r="AN41" s="201"/>
      <c r="AO41" s="201"/>
      <c r="AP41" s="201"/>
      <c r="AQ41" s="201"/>
      <c r="AS41" s="201"/>
      <c r="AT41" s="201"/>
      <c r="AU41" s="201"/>
      <c r="AV41" s="201"/>
      <c r="AX41" s="201"/>
      <c r="AY41" s="201"/>
      <c r="AZ41" s="201"/>
      <c r="BA41" s="201"/>
      <c r="BC41" s="201"/>
      <c r="BD41" s="201"/>
      <c r="BE41" s="201"/>
      <c r="BF41" s="201"/>
      <c r="BH41" s="201"/>
      <c r="BI41" s="201"/>
      <c r="BJ41" s="201"/>
      <c r="BK41" s="201"/>
      <c r="BM41" s="201"/>
      <c r="BN41" s="201"/>
      <c r="BO41" s="201"/>
      <c r="BP41" s="201"/>
      <c r="BR41" s="201"/>
      <c r="BS41" s="201"/>
      <c r="BT41" s="201"/>
      <c r="BU41" s="201"/>
      <c r="BW41" s="201"/>
      <c r="BX41" s="201"/>
      <c r="BY41" s="201"/>
      <c r="BZ41" s="201"/>
      <c r="CB41" s="201"/>
      <c r="CC41" s="201"/>
      <c r="CD41" s="201"/>
      <c r="CE41" s="201"/>
      <c r="CG41" s="201"/>
      <c r="CH41" s="201"/>
      <c r="CI41" s="201"/>
      <c r="CJ41" s="201"/>
    </row>
    <row r="42" spans="38:88" x14ac:dyDescent="0.25">
      <c r="AL42" s="200"/>
      <c r="AM42" s="201"/>
      <c r="AN42" s="201"/>
      <c r="AO42" s="201"/>
      <c r="AP42" s="201"/>
      <c r="AQ42" s="201"/>
      <c r="AS42" s="201"/>
      <c r="AT42" s="201"/>
      <c r="AU42" s="201"/>
      <c r="AV42" s="201"/>
      <c r="AX42" s="201"/>
      <c r="AY42" s="201"/>
      <c r="AZ42" s="201"/>
      <c r="BA42" s="201"/>
      <c r="BC42" s="201"/>
      <c r="BD42" s="201"/>
      <c r="BE42" s="201"/>
      <c r="BF42" s="201"/>
      <c r="BH42" s="201"/>
      <c r="BI42" s="201"/>
      <c r="BJ42" s="201"/>
      <c r="BK42" s="201"/>
      <c r="BM42" s="201"/>
      <c r="BN42" s="201"/>
      <c r="BO42" s="201"/>
      <c r="BP42" s="201"/>
      <c r="BR42" s="201"/>
      <c r="BS42" s="201"/>
      <c r="BT42" s="201"/>
      <c r="BU42" s="201"/>
      <c r="BW42" s="201"/>
      <c r="BX42" s="201"/>
      <c r="BY42" s="201"/>
      <c r="BZ42" s="201"/>
      <c r="CB42" s="201"/>
      <c r="CC42" s="201"/>
      <c r="CD42" s="201"/>
      <c r="CE42" s="201"/>
      <c r="CG42" s="201"/>
      <c r="CH42" s="201"/>
      <c r="CI42" s="201"/>
      <c r="CJ42" s="201"/>
    </row>
    <row r="43" spans="38:88" x14ac:dyDescent="0.25">
      <c r="AL43" s="200"/>
      <c r="AM43" s="201"/>
      <c r="AN43" s="201"/>
      <c r="AO43" s="201"/>
      <c r="AP43" s="201"/>
      <c r="AQ43" s="201"/>
      <c r="AS43" s="201"/>
      <c r="AT43" s="201"/>
      <c r="AU43" s="201"/>
      <c r="AV43" s="201"/>
      <c r="AX43" s="201"/>
      <c r="AY43" s="201"/>
      <c r="AZ43" s="201"/>
      <c r="BA43" s="201"/>
      <c r="BC43" s="201"/>
      <c r="BD43" s="201"/>
      <c r="BE43" s="201"/>
      <c r="BF43" s="201"/>
      <c r="BH43" s="201"/>
      <c r="BI43" s="201"/>
      <c r="BJ43" s="201"/>
      <c r="BK43" s="201"/>
      <c r="BM43" s="201"/>
      <c r="BN43" s="201"/>
      <c r="BO43" s="201"/>
      <c r="BP43" s="201"/>
      <c r="BR43" s="201"/>
      <c r="BS43" s="201"/>
      <c r="BT43" s="201"/>
      <c r="BU43" s="201"/>
      <c r="BW43" s="201"/>
      <c r="BX43" s="201"/>
      <c r="BY43" s="201"/>
      <c r="BZ43" s="201"/>
      <c r="CB43" s="201"/>
      <c r="CC43" s="201"/>
      <c r="CD43" s="201"/>
      <c r="CE43" s="201"/>
      <c r="CG43" s="201"/>
      <c r="CH43" s="201"/>
      <c r="CI43" s="201"/>
      <c r="CJ43" s="201"/>
    </row>
    <row r="44" spans="38:88" x14ac:dyDescent="0.25">
      <c r="AL44" s="200"/>
      <c r="AM44" s="201"/>
      <c r="AN44" s="201"/>
      <c r="AO44" s="201"/>
      <c r="AP44" s="201"/>
      <c r="AQ44" s="201"/>
      <c r="AS44" s="201"/>
      <c r="AT44" s="201"/>
      <c r="AU44" s="201"/>
      <c r="AV44" s="201"/>
      <c r="AX44" s="201"/>
      <c r="AY44" s="201"/>
      <c r="AZ44" s="201"/>
      <c r="BA44" s="201"/>
      <c r="BC44" s="201"/>
      <c r="BD44" s="201"/>
      <c r="BE44" s="201"/>
      <c r="BF44" s="201"/>
      <c r="BH44" s="201"/>
      <c r="BI44" s="201"/>
      <c r="BJ44" s="201"/>
      <c r="BK44" s="201"/>
      <c r="BM44" s="201"/>
      <c r="BN44" s="201"/>
      <c r="BO44" s="201"/>
      <c r="BP44" s="201"/>
      <c r="BR44" s="201"/>
      <c r="BS44" s="201"/>
      <c r="BT44" s="201"/>
      <c r="BU44" s="201"/>
      <c r="BW44" s="201"/>
      <c r="BX44" s="201"/>
      <c r="BY44" s="201"/>
      <c r="BZ44" s="201"/>
      <c r="CB44" s="201"/>
      <c r="CC44" s="201"/>
      <c r="CD44" s="201"/>
      <c r="CE44" s="201"/>
      <c r="CG44" s="201"/>
      <c r="CH44" s="201"/>
      <c r="CI44" s="201"/>
      <c r="CJ44" s="201"/>
    </row>
    <row r="45" spans="38:88" x14ac:dyDescent="0.25">
      <c r="AL45" s="200"/>
      <c r="AM45" s="201"/>
      <c r="AN45" s="201"/>
      <c r="AO45" s="201"/>
      <c r="AP45" s="201"/>
      <c r="AQ45" s="201"/>
      <c r="AS45" s="201"/>
      <c r="AT45" s="201"/>
      <c r="AU45" s="201"/>
      <c r="AV45" s="201"/>
      <c r="AX45" s="201"/>
      <c r="AY45" s="201"/>
      <c r="AZ45" s="201"/>
      <c r="BA45" s="201"/>
      <c r="BC45" s="201"/>
      <c r="BD45" s="201"/>
      <c r="BE45" s="201"/>
      <c r="BF45" s="201"/>
      <c r="BH45" s="201"/>
      <c r="BI45" s="201"/>
      <c r="BJ45" s="201"/>
      <c r="BK45" s="201"/>
      <c r="BM45" s="201"/>
      <c r="BN45" s="201"/>
      <c r="BO45" s="201"/>
      <c r="BP45" s="201"/>
      <c r="BR45" s="201"/>
      <c r="BS45" s="201"/>
      <c r="BT45" s="201"/>
      <c r="BU45" s="201"/>
      <c r="BW45" s="201"/>
      <c r="BX45" s="201"/>
      <c r="BY45" s="201"/>
      <c r="BZ45" s="201"/>
      <c r="CB45" s="201"/>
      <c r="CC45" s="201"/>
      <c r="CD45" s="201"/>
      <c r="CE45" s="201"/>
      <c r="CG45" s="201"/>
      <c r="CH45" s="201"/>
      <c r="CI45" s="201"/>
      <c r="CJ45" s="201"/>
    </row>
    <row r="46" spans="38:88" x14ac:dyDescent="0.25">
      <c r="AL46" s="200"/>
      <c r="AM46" s="201"/>
      <c r="AN46" s="201"/>
      <c r="AO46" s="201"/>
      <c r="AP46" s="201"/>
      <c r="AQ46" s="201"/>
      <c r="AS46" s="201"/>
      <c r="AT46" s="201"/>
      <c r="AU46" s="201"/>
      <c r="AV46" s="201"/>
      <c r="AX46" s="201"/>
      <c r="AY46" s="201"/>
      <c r="AZ46" s="201"/>
      <c r="BA46" s="201"/>
      <c r="BC46" s="201"/>
      <c r="BD46" s="201"/>
      <c r="BE46" s="201"/>
      <c r="BF46" s="201"/>
      <c r="BH46" s="201"/>
      <c r="BI46" s="201"/>
      <c r="BJ46" s="201"/>
      <c r="BK46" s="201"/>
      <c r="BM46" s="201"/>
      <c r="BN46" s="201"/>
      <c r="BO46" s="201"/>
      <c r="BP46" s="201"/>
      <c r="BR46" s="201"/>
      <c r="BS46" s="201"/>
      <c r="BT46" s="201"/>
      <c r="BU46" s="201"/>
      <c r="BW46" s="201"/>
      <c r="BX46" s="201"/>
      <c r="BY46" s="201"/>
      <c r="BZ46" s="201"/>
      <c r="CB46" s="201"/>
      <c r="CC46" s="201"/>
      <c r="CD46" s="201"/>
      <c r="CE46" s="201"/>
      <c r="CG46" s="201"/>
      <c r="CH46" s="201"/>
      <c r="CI46" s="201"/>
      <c r="CJ46" s="201"/>
    </row>
    <row r="47" spans="38:88" x14ac:dyDescent="0.25">
      <c r="AL47" s="200"/>
      <c r="AM47" s="201"/>
      <c r="AN47" s="201"/>
      <c r="AO47" s="201"/>
      <c r="AP47" s="201"/>
      <c r="AQ47" s="201"/>
      <c r="AS47" s="201"/>
      <c r="AT47" s="201"/>
      <c r="AU47" s="201"/>
      <c r="AV47" s="201"/>
      <c r="AX47" s="201"/>
      <c r="AY47" s="201"/>
      <c r="AZ47" s="201"/>
      <c r="BA47" s="201"/>
      <c r="BC47" s="201"/>
      <c r="BD47" s="201"/>
      <c r="BE47" s="201"/>
      <c r="BF47" s="201"/>
      <c r="BH47" s="201"/>
      <c r="BI47" s="201"/>
      <c r="BJ47" s="201"/>
      <c r="BK47" s="201"/>
      <c r="BM47" s="201"/>
      <c r="BN47" s="201"/>
      <c r="BO47" s="201"/>
      <c r="BP47" s="201"/>
      <c r="BR47" s="201"/>
      <c r="BS47" s="201"/>
      <c r="BT47" s="201"/>
      <c r="BU47" s="201"/>
      <c r="BW47" s="201"/>
      <c r="BX47" s="201"/>
      <c r="BY47" s="201"/>
      <c r="BZ47" s="201"/>
      <c r="CB47" s="201"/>
      <c r="CC47" s="201"/>
      <c r="CD47" s="201"/>
      <c r="CE47" s="201"/>
      <c r="CG47" s="201"/>
      <c r="CH47" s="201"/>
      <c r="CI47" s="201"/>
      <c r="CJ47" s="201"/>
    </row>
    <row r="48" spans="38:88" x14ac:dyDescent="0.25">
      <c r="AL48" s="200"/>
      <c r="AM48" s="201"/>
      <c r="AN48" s="201"/>
      <c r="AO48" s="201"/>
      <c r="AP48" s="201"/>
      <c r="AQ48" s="201"/>
      <c r="AS48" s="201"/>
      <c r="AT48" s="201"/>
      <c r="AU48" s="201"/>
      <c r="AV48" s="201"/>
      <c r="AX48" s="201"/>
      <c r="AY48" s="201"/>
      <c r="AZ48" s="201"/>
      <c r="BA48" s="201"/>
      <c r="BC48" s="201"/>
      <c r="BD48" s="201"/>
      <c r="BE48" s="201"/>
      <c r="BF48" s="201"/>
      <c r="BH48" s="201"/>
      <c r="BI48" s="201"/>
      <c r="BJ48" s="201"/>
      <c r="BK48" s="201"/>
      <c r="BM48" s="201"/>
      <c r="BN48" s="201"/>
      <c r="BO48" s="201"/>
      <c r="BP48" s="201"/>
      <c r="BR48" s="201"/>
      <c r="BS48" s="201"/>
      <c r="BT48" s="201"/>
      <c r="BU48" s="201"/>
      <c r="BW48" s="201"/>
      <c r="BX48" s="201"/>
      <c r="BY48" s="201"/>
      <c r="BZ48" s="201"/>
      <c r="CB48" s="201"/>
      <c r="CC48" s="201"/>
      <c r="CD48" s="201"/>
      <c r="CE48" s="201"/>
      <c r="CG48" s="201"/>
      <c r="CH48" s="201"/>
      <c r="CI48" s="201"/>
      <c r="CJ48" s="201"/>
    </row>
    <row r="49" spans="38:88" x14ac:dyDescent="0.25">
      <c r="AL49" s="200"/>
      <c r="AM49" s="201"/>
      <c r="AN49" s="201"/>
      <c r="AO49" s="201"/>
      <c r="AP49" s="201"/>
      <c r="AQ49" s="201"/>
      <c r="AS49" s="201"/>
      <c r="AT49" s="201"/>
      <c r="AU49" s="201"/>
      <c r="AV49" s="201"/>
      <c r="AX49" s="201"/>
      <c r="AY49" s="201"/>
      <c r="AZ49" s="201"/>
      <c r="BA49" s="201"/>
      <c r="BC49" s="201"/>
      <c r="BD49" s="201"/>
      <c r="BE49" s="201"/>
      <c r="BF49" s="201"/>
      <c r="BH49" s="201"/>
      <c r="BI49" s="201"/>
      <c r="BJ49" s="201"/>
      <c r="BK49" s="201"/>
      <c r="BM49" s="201"/>
      <c r="BN49" s="201"/>
      <c r="BO49" s="201"/>
      <c r="BP49" s="201"/>
      <c r="BR49" s="201"/>
      <c r="BS49" s="201"/>
      <c r="BT49" s="201"/>
      <c r="BU49" s="201"/>
      <c r="BW49" s="201"/>
      <c r="BX49" s="201"/>
      <c r="BY49" s="201"/>
      <c r="BZ49" s="201"/>
      <c r="CB49" s="201"/>
      <c r="CC49" s="201"/>
      <c r="CD49" s="201"/>
      <c r="CE49" s="201"/>
      <c r="CG49" s="201"/>
      <c r="CH49" s="201"/>
      <c r="CI49" s="201"/>
      <c r="CJ49" s="201"/>
    </row>
    <row r="50" spans="38:88" x14ac:dyDescent="0.25">
      <c r="AL50" s="200"/>
      <c r="AM50" s="201"/>
      <c r="AN50" s="201"/>
      <c r="AO50" s="201"/>
      <c r="AP50" s="201"/>
      <c r="AQ50" s="201"/>
      <c r="AS50" s="201"/>
      <c r="AT50" s="201"/>
      <c r="AU50" s="201"/>
      <c r="AV50" s="201"/>
      <c r="AX50" s="201"/>
      <c r="AY50" s="201"/>
      <c r="AZ50" s="201"/>
      <c r="BA50" s="201"/>
      <c r="BC50" s="201"/>
      <c r="BD50" s="201"/>
      <c r="BE50" s="201"/>
      <c r="BF50" s="201"/>
      <c r="BH50" s="201"/>
      <c r="BI50" s="201"/>
      <c r="BJ50" s="201"/>
      <c r="BK50" s="201"/>
      <c r="BM50" s="201"/>
      <c r="BN50" s="201"/>
      <c r="BO50" s="201"/>
      <c r="BP50" s="201"/>
      <c r="BR50" s="201"/>
      <c r="BS50" s="201"/>
      <c r="BT50" s="201"/>
      <c r="BU50" s="201"/>
      <c r="BW50" s="201"/>
      <c r="BX50" s="201"/>
      <c r="BY50" s="201"/>
      <c r="BZ50" s="201"/>
      <c r="CB50" s="201"/>
      <c r="CC50" s="201"/>
      <c r="CD50" s="201"/>
      <c r="CE50" s="201"/>
      <c r="CG50" s="201"/>
      <c r="CH50" s="201"/>
      <c r="CI50" s="201"/>
      <c r="CJ50" s="201"/>
    </row>
    <row r="51" spans="38:88" x14ac:dyDescent="0.25">
      <c r="AL51" s="200"/>
      <c r="AM51" s="201"/>
      <c r="AN51" s="201"/>
      <c r="AO51" s="201"/>
      <c r="AP51" s="201"/>
      <c r="AQ51" s="201"/>
      <c r="AS51" s="201"/>
      <c r="AT51" s="201"/>
      <c r="AU51" s="201"/>
      <c r="AV51" s="201"/>
      <c r="AX51" s="201"/>
      <c r="AY51" s="201"/>
      <c r="AZ51" s="201"/>
      <c r="BA51" s="201"/>
      <c r="BC51" s="201"/>
      <c r="BD51" s="201"/>
      <c r="BE51" s="201"/>
      <c r="BF51" s="201"/>
      <c r="BH51" s="201"/>
      <c r="BI51" s="201"/>
      <c r="BJ51" s="201"/>
      <c r="BK51" s="201"/>
      <c r="BM51" s="201"/>
      <c r="BN51" s="201"/>
      <c r="BO51" s="201"/>
      <c r="BP51" s="201"/>
      <c r="BR51" s="201"/>
      <c r="BS51" s="201"/>
      <c r="BT51" s="201"/>
      <c r="BU51" s="201"/>
      <c r="BW51" s="201"/>
      <c r="BX51" s="201"/>
      <c r="BY51" s="201"/>
      <c r="BZ51" s="201"/>
      <c r="CB51" s="201"/>
      <c r="CC51" s="201"/>
      <c r="CD51" s="201"/>
      <c r="CE51" s="201"/>
      <c r="CG51" s="201"/>
      <c r="CH51" s="201"/>
      <c r="CI51" s="201"/>
      <c r="CJ51" s="201"/>
    </row>
    <row r="52" spans="38:88" x14ac:dyDescent="0.25">
      <c r="AL52" s="200"/>
      <c r="AM52" s="201"/>
      <c r="AN52" s="201"/>
      <c r="AO52" s="201"/>
      <c r="AP52" s="201"/>
      <c r="AQ52" s="201"/>
      <c r="AS52" s="201"/>
      <c r="AT52" s="201"/>
      <c r="AU52" s="201"/>
      <c r="AV52" s="201"/>
      <c r="AX52" s="201"/>
      <c r="AY52" s="201"/>
      <c r="AZ52" s="201"/>
      <c r="BA52" s="201"/>
      <c r="BC52" s="201"/>
      <c r="BD52" s="201"/>
      <c r="BE52" s="201"/>
      <c r="BF52" s="201"/>
      <c r="BH52" s="201"/>
      <c r="BI52" s="201"/>
      <c r="BJ52" s="201"/>
      <c r="BK52" s="201"/>
      <c r="BM52" s="201"/>
      <c r="BN52" s="201"/>
      <c r="BO52" s="201"/>
      <c r="BP52" s="201"/>
      <c r="BR52" s="201"/>
      <c r="BS52" s="201"/>
      <c r="BT52" s="201"/>
      <c r="BU52" s="201"/>
      <c r="BW52" s="201"/>
      <c r="BX52" s="201"/>
      <c r="BY52" s="201"/>
      <c r="BZ52" s="201"/>
      <c r="CB52" s="201"/>
      <c r="CC52" s="201"/>
      <c r="CD52" s="201"/>
      <c r="CE52" s="201"/>
      <c r="CG52" s="201"/>
      <c r="CH52" s="201"/>
      <c r="CI52" s="201"/>
      <c r="CJ52" s="201"/>
    </row>
    <row r="53" spans="38:88" x14ac:dyDescent="0.25">
      <c r="AL53" s="200"/>
      <c r="AM53" s="201"/>
      <c r="AN53" s="201"/>
      <c r="AO53" s="201"/>
      <c r="AP53" s="201"/>
      <c r="AQ53" s="201"/>
      <c r="AS53" s="201"/>
      <c r="AT53" s="201"/>
      <c r="AU53" s="201"/>
      <c r="AV53" s="201"/>
      <c r="AX53" s="201"/>
      <c r="AY53" s="201"/>
      <c r="AZ53" s="201"/>
      <c r="BA53" s="201"/>
      <c r="BC53" s="201"/>
      <c r="BD53" s="201"/>
      <c r="BE53" s="201"/>
      <c r="BF53" s="201"/>
      <c r="BH53" s="201"/>
      <c r="BI53" s="201"/>
      <c r="BJ53" s="201"/>
      <c r="BK53" s="201"/>
      <c r="BM53" s="201"/>
      <c r="BN53" s="201"/>
      <c r="BO53" s="201"/>
      <c r="BP53" s="201"/>
      <c r="BR53" s="201"/>
      <c r="BS53" s="201"/>
      <c r="BT53" s="201"/>
      <c r="BU53" s="201"/>
      <c r="BW53" s="201"/>
      <c r="BX53" s="201"/>
      <c r="BY53" s="201"/>
      <c r="BZ53" s="201"/>
      <c r="CB53" s="201"/>
      <c r="CC53" s="201"/>
      <c r="CD53" s="201"/>
      <c r="CE53" s="201"/>
      <c r="CG53" s="201"/>
      <c r="CH53" s="201"/>
      <c r="CI53" s="201"/>
      <c r="CJ53" s="201"/>
    </row>
    <row r="54" spans="38:88" x14ac:dyDescent="0.25">
      <c r="AL54" s="200"/>
      <c r="AM54" s="201"/>
      <c r="AN54" s="201"/>
      <c r="AO54" s="201"/>
      <c r="AP54" s="201"/>
      <c r="AQ54" s="201"/>
      <c r="AS54" s="201"/>
      <c r="AT54" s="201"/>
      <c r="AU54" s="201"/>
      <c r="AV54" s="201"/>
      <c r="AX54" s="201"/>
      <c r="AY54" s="201"/>
      <c r="AZ54" s="201"/>
      <c r="BA54" s="201"/>
      <c r="BC54" s="201"/>
      <c r="BD54" s="201"/>
      <c r="BE54" s="201"/>
      <c r="BF54" s="201"/>
      <c r="BH54" s="201"/>
      <c r="BI54" s="201"/>
      <c r="BJ54" s="201"/>
      <c r="BK54" s="201"/>
      <c r="BM54" s="201"/>
      <c r="BN54" s="201"/>
      <c r="BO54" s="201"/>
      <c r="BP54" s="201"/>
      <c r="BR54" s="201"/>
      <c r="BS54" s="201"/>
      <c r="BT54" s="201"/>
      <c r="BU54" s="201"/>
      <c r="BW54" s="201"/>
      <c r="BX54" s="201"/>
      <c r="BY54" s="201"/>
      <c r="BZ54" s="201"/>
      <c r="CB54" s="201"/>
      <c r="CC54" s="201"/>
      <c r="CD54" s="201"/>
      <c r="CE54" s="201"/>
      <c r="CG54" s="201"/>
      <c r="CH54" s="201"/>
      <c r="CI54" s="201"/>
      <c r="CJ54" s="201"/>
    </row>
    <row r="55" spans="38:88" x14ac:dyDescent="0.25">
      <c r="AL55" s="200"/>
      <c r="AM55" s="201"/>
      <c r="AN55" s="201"/>
      <c r="AO55" s="201"/>
      <c r="AP55" s="201"/>
      <c r="AQ55" s="201"/>
      <c r="AS55" s="201"/>
      <c r="AT55" s="201"/>
      <c r="AU55" s="201"/>
      <c r="AV55" s="201"/>
      <c r="AX55" s="201"/>
      <c r="AY55" s="201"/>
      <c r="AZ55" s="201"/>
      <c r="BA55" s="201"/>
      <c r="BC55" s="201"/>
      <c r="BD55" s="201"/>
      <c r="BE55" s="201"/>
      <c r="BF55" s="201"/>
      <c r="BH55" s="201"/>
      <c r="BI55" s="201"/>
      <c r="BJ55" s="201"/>
      <c r="BK55" s="201"/>
      <c r="BM55" s="201"/>
      <c r="BN55" s="201"/>
      <c r="BO55" s="201"/>
      <c r="BP55" s="201"/>
      <c r="BR55" s="201"/>
      <c r="BS55" s="201"/>
      <c r="BT55" s="201"/>
      <c r="BU55" s="201"/>
      <c r="BW55" s="201"/>
      <c r="BX55" s="201"/>
      <c r="BY55" s="201"/>
      <c r="BZ55" s="201"/>
      <c r="CB55" s="201"/>
      <c r="CC55" s="201"/>
      <c r="CD55" s="201"/>
      <c r="CE55" s="201"/>
      <c r="CG55" s="201"/>
      <c r="CH55" s="201"/>
      <c r="CI55" s="201"/>
      <c r="CJ55" s="201"/>
    </row>
    <row r="56" spans="38:88" x14ac:dyDescent="0.25">
      <c r="AL56" s="200"/>
      <c r="AM56" s="201"/>
      <c r="AN56" s="201"/>
      <c r="AO56" s="201"/>
      <c r="AP56" s="201"/>
      <c r="AQ56" s="201"/>
      <c r="AS56" s="201"/>
      <c r="AT56" s="201"/>
      <c r="AU56" s="201"/>
      <c r="AV56" s="201"/>
      <c r="AX56" s="201"/>
      <c r="AY56" s="201"/>
      <c r="AZ56" s="201"/>
      <c r="BA56" s="201"/>
      <c r="BC56" s="201"/>
      <c r="BD56" s="201"/>
      <c r="BE56" s="201"/>
      <c r="BF56" s="201"/>
      <c r="BH56" s="201"/>
      <c r="BI56" s="201"/>
      <c r="BJ56" s="201"/>
      <c r="BK56" s="201"/>
      <c r="BM56" s="201"/>
      <c r="BN56" s="201"/>
      <c r="BO56" s="201"/>
      <c r="BP56" s="201"/>
      <c r="BR56" s="201"/>
      <c r="BS56" s="201"/>
      <c r="BT56" s="201"/>
      <c r="BU56" s="201"/>
      <c r="BW56" s="201"/>
      <c r="BX56" s="201"/>
      <c r="BY56" s="201"/>
      <c r="BZ56" s="201"/>
      <c r="CB56" s="201"/>
      <c r="CC56" s="201"/>
      <c r="CD56" s="201"/>
      <c r="CE56" s="201"/>
      <c r="CG56" s="201"/>
      <c r="CH56" s="201"/>
      <c r="CI56" s="201"/>
      <c r="CJ56" s="201"/>
    </row>
    <row r="57" spans="38:88" x14ac:dyDescent="0.25">
      <c r="AL57" s="200"/>
      <c r="AM57" s="201"/>
      <c r="AN57" s="201"/>
      <c r="AO57" s="201"/>
      <c r="AP57" s="201"/>
      <c r="AQ57" s="201"/>
      <c r="AS57" s="201"/>
      <c r="AT57" s="201"/>
      <c r="AU57" s="201"/>
      <c r="AV57" s="201"/>
      <c r="AX57" s="201"/>
      <c r="AY57" s="201"/>
      <c r="AZ57" s="201"/>
      <c r="BA57" s="201"/>
      <c r="BC57" s="201"/>
      <c r="BD57" s="201"/>
      <c r="BE57" s="201"/>
      <c r="BF57" s="201"/>
      <c r="BH57" s="201"/>
      <c r="BI57" s="201"/>
      <c r="BJ57" s="201"/>
      <c r="BK57" s="201"/>
      <c r="BM57" s="201"/>
      <c r="BN57" s="201"/>
      <c r="BO57" s="201"/>
      <c r="BP57" s="201"/>
      <c r="BR57" s="201"/>
      <c r="BS57" s="201"/>
      <c r="BT57" s="201"/>
      <c r="BU57" s="201"/>
      <c r="BW57" s="201"/>
      <c r="BX57" s="201"/>
      <c r="BY57" s="201"/>
      <c r="BZ57" s="201"/>
      <c r="CB57" s="201"/>
      <c r="CC57" s="201"/>
      <c r="CD57" s="201"/>
      <c r="CE57" s="201"/>
      <c r="CG57" s="201"/>
      <c r="CH57" s="201"/>
      <c r="CI57" s="201"/>
      <c r="CJ57" s="201"/>
    </row>
    <row r="58" spans="38:88" x14ac:dyDescent="0.25">
      <c r="AL58" s="200"/>
      <c r="AM58" s="201"/>
      <c r="AN58" s="201"/>
      <c r="AO58" s="201"/>
      <c r="AP58" s="201"/>
      <c r="AQ58" s="201"/>
      <c r="AS58" s="201"/>
      <c r="AT58" s="201"/>
      <c r="AU58" s="201"/>
      <c r="AV58" s="201"/>
      <c r="AX58" s="201"/>
      <c r="AY58" s="201"/>
      <c r="AZ58" s="201"/>
      <c r="BA58" s="201"/>
      <c r="BC58" s="201"/>
      <c r="BD58" s="201"/>
      <c r="BE58" s="201"/>
      <c r="BF58" s="201"/>
      <c r="BH58" s="201"/>
      <c r="BI58" s="201"/>
      <c r="BJ58" s="201"/>
      <c r="BK58" s="201"/>
      <c r="BM58" s="201"/>
      <c r="BN58" s="201"/>
      <c r="BO58" s="201"/>
      <c r="BP58" s="201"/>
      <c r="BR58" s="201"/>
      <c r="BS58" s="201"/>
      <c r="BT58" s="201"/>
      <c r="BU58" s="201"/>
      <c r="BW58" s="201"/>
      <c r="BX58" s="201"/>
      <c r="BY58" s="201"/>
      <c r="BZ58" s="201"/>
      <c r="CB58" s="201"/>
      <c r="CC58" s="201"/>
      <c r="CD58" s="201"/>
      <c r="CE58" s="201"/>
      <c r="CG58" s="201"/>
      <c r="CH58" s="201"/>
      <c r="CI58" s="201"/>
      <c r="CJ58" s="201"/>
    </row>
    <row r="59" spans="38:88" x14ac:dyDescent="0.25">
      <c r="AL59" s="200"/>
      <c r="AM59" s="201"/>
      <c r="AN59" s="201"/>
      <c r="AO59" s="201"/>
      <c r="AP59" s="201"/>
      <c r="AQ59" s="201"/>
      <c r="AS59" s="201"/>
      <c r="AT59" s="201"/>
      <c r="AU59" s="201"/>
      <c r="AV59" s="201"/>
      <c r="AX59" s="201"/>
      <c r="AY59" s="201"/>
      <c r="AZ59" s="201"/>
      <c r="BA59" s="201"/>
      <c r="BC59" s="201"/>
      <c r="BD59" s="201"/>
      <c r="BE59" s="201"/>
      <c r="BF59" s="201"/>
      <c r="BH59" s="201"/>
      <c r="BI59" s="201"/>
      <c r="BJ59" s="201"/>
      <c r="BK59" s="201"/>
      <c r="BM59" s="201"/>
      <c r="BN59" s="201"/>
      <c r="BO59" s="201"/>
      <c r="BP59" s="201"/>
      <c r="BR59" s="201"/>
      <c r="BS59" s="201"/>
      <c r="BT59" s="201"/>
      <c r="BU59" s="201"/>
      <c r="BW59" s="201"/>
      <c r="BX59" s="201"/>
      <c r="BY59" s="201"/>
      <c r="BZ59" s="201"/>
      <c r="CB59" s="201"/>
      <c r="CC59" s="201"/>
      <c r="CD59" s="201"/>
      <c r="CE59" s="201"/>
      <c r="CG59" s="201"/>
      <c r="CH59" s="201"/>
      <c r="CI59" s="201"/>
      <c r="CJ59" s="201"/>
    </row>
    <row r="60" spans="38:88" x14ac:dyDescent="0.25">
      <c r="AL60" s="200"/>
      <c r="AM60" s="201"/>
      <c r="AN60" s="201"/>
      <c r="AO60" s="201"/>
      <c r="AP60" s="201"/>
      <c r="AQ60" s="201"/>
      <c r="AS60" s="201"/>
      <c r="AT60" s="201"/>
      <c r="AU60" s="201"/>
      <c r="AV60" s="201"/>
      <c r="AX60" s="201"/>
      <c r="AY60" s="201"/>
      <c r="AZ60" s="201"/>
      <c r="BA60" s="201"/>
      <c r="BC60" s="201"/>
      <c r="BD60" s="201"/>
      <c r="BE60" s="201"/>
      <c r="BF60" s="201"/>
      <c r="BH60" s="201"/>
      <c r="BI60" s="201"/>
      <c r="BJ60" s="201"/>
      <c r="BK60" s="201"/>
      <c r="BM60" s="201"/>
      <c r="BN60" s="201"/>
      <c r="BO60" s="201"/>
      <c r="BP60" s="201"/>
      <c r="BR60" s="201"/>
      <c r="BS60" s="201"/>
      <c r="BT60" s="201"/>
      <c r="BU60" s="201"/>
      <c r="BW60" s="201"/>
      <c r="BX60" s="201"/>
      <c r="BY60" s="201"/>
      <c r="BZ60" s="201"/>
      <c r="CB60" s="201"/>
      <c r="CC60" s="201"/>
      <c r="CD60" s="201"/>
      <c r="CE60" s="201"/>
      <c r="CG60" s="201"/>
      <c r="CH60" s="201"/>
      <c r="CI60" s="201"/>
      <c r="CJ60" s="201"/>
    </row>
    <row r="61" spans="38:88" x14ac:dyDescent="0.25">
      <c r="AL61" s="200"/>
      <c r="AM61" s="201"/>
      <c r="AN61" s="201"/>
      <c r="AO61" s="201"/>
      <c r="AP61" s="201"/>
      <c r="AQ61" s="201"/>
      <c r="AS61" s="201"/>
      <c r="AT61" s="201"/>
      <c r="AU61" s="201"/>
      <c r="AV61" s="201"/>
      <c r="AX61" s="201"/>
      <c r="AY61" s="201"/>
      <c r="AZ61" s="201"/>
      <c r="BA61" s="201"/>
    </row>
    <row r="62" spans="38:88" x14ac:dyDescent="0.25">
      <c r="AL62" s="200"/>
      <c r="AM62" s="201"/>
      <c r="AN62" s="201"/>
      <c r="AO62" s="201"/>
      <c r="AP62" s="201"/>
      <c r="AQ62" s="201"/>
      <c r="AS62" s="201"/>
      <c r="AT62" s="201"/>
      <c r="AU62" s="201"/>
      <c r="AV62" s="201"/>
      <c r="AX62" s="201"/>
      <c r="AY62" s="201"/>
      <c r="AZ62" s="201"/>
      <c r="BA62" s="201"/>
    </row>
    <row r="63" spans="38:88" x14ac:dyDescent="0.25">
      <c r="AL63" s="200"/>
      <c r="AM63" s="201"/>
      <c r="AN63" s="201"/>
      <c r="AO63" s="201"/>
      <c r="AP63" s="201"/>
      <c r="AQ63" s="201"/>
      <c r="AS63" s="201"/>
      <c r="AT63" s="201"/>
      <c r="AU63" s="201"/>
      <c r="AV63" s="201"/>
      <c r="AX63" s="201"/>
      <c r="AY63" s="201"/>
      <c r="AZ63" s="201"/>
      <c r="BA63" s="201"/>
    </row>
    <row r="64" spans="38:88" x14ac:dyDescent="0.25">
      <c r="AL64" s="200"/>
      <c r="AM64" s="201"/>
      <c r="AN64" s="201"/>
      <c r="AO64" s="201"/>
      <c r="AP64" s="201"/>
      <c r="AQ64" s="201"/>
      <c r="AS64" s="201"/>
      <c r="AT64" s="201"/>
      <c r="AU64" s="201"/>
      <c r="AV64" s="201"/>
      <c r="AX64" s="201"/>
      <c r="AY64" s="201"/>
      <c r="AZ64" s="201"/>
      <c r="BA64" s="201"/>
    </row>
    <row r="65" spans="38:53" x14ac:dyDescent="0.25">
      <c r="AL65" s="200"/>
      <c r="AM65" s="201"/>
      <c r="AN65" s="201"/>
      <c r="AO65" s="201"/>
      <c r="AP65" s="201"/>
      <c r="AQ65" s="201"/>
      <c r="AS65" s="201"/>
      <c r="AT65" s="201"/>
      <c r="AU65" s="201"/>
      <c r="AV65" s="201"/>
      <c r="AX65" s="201"/>
      <c r="AY65" s="201"/>
      <c r="AZ65" s="201"/>
      <c r="BA65" s="201"/>
    </row>
    <row r="66" spans="38:53" x14ac:dyDescent="0.25">
      <c r="AL66" s="200"/>
      <c r="AM66" s="201"/>
      <c r="AN66" s="201"/>
      <c r="AO66" s="201"/>
      <c r="AP66" s="201"/>
      <c r="AQ66" s="201"/>
      <c r="AS66" s="201"/>
      <c r="AT66" s="201"/>
      <c r="AU66" s="201"/>
      <c r="AV66" s="201"/>
      <c r="AX66" s="201"/>
      <c r="AY66" s="201"/>
      <c r="AZ66" s="201"/>
      <c r="BA66" s="201"/>
    </row>
    <row r="67" spans="38:53" x14ac:dyDescent="0.25">
      <c r="AL67" s="200"/>
      <c r="AM67" s="201"/>
      <c r="AN67" s="201"/>
      <c r="AO67" s="201"/>
      <c r="AP67" s="201"/>
      <c r="AQ67" s="201"/>
      <c r="AS67" s="201"/>
      <c r="AT67" s="201"/>
      <c r="AU67" s="201"/>
      <c r="AV67" s="201"/>
      <c r="AX67" s="201"/>
      <c r="AY67" s="201"/>
      <c r="AZ67" s="201"/>
      <c r="BA67" s="201"/>
    </row>
    <row r="68" spans="38:53" x14ac:dyDescent="0.25">
      <c r="AL68" s="200"/>
      <c r="AM68" s="201"/>
      <c r="AN68" s="201"/>
      <c r="AO68" s="201"/>
      <c r="AP68" s="201"/>
      <c r="AQ68" s="201"/>
      <c r="AS68" s="201"/>
      <c r="AT68" s="201"/>
      <c r="AU68" s="201"/>
      <c r="AV68" s="201"/>
      <c r="AX68" s="201"/>
      <c r="AY68" s="201"/>
      <c r="AZ68" s="201"/>
      <c r="BA68" s="201"/>
    </row>
    <row r="69" spans="38:53" x14ac:dyDescent="0.25">
      <c r="AL69" s="200"/>
      <c r="AM69" s="201"/>
      <c r="AN69" s="201"/>
      <c r="AO69" s="201"/>
      <c r="AP69" s="201"/>
      <c r="AQ69" s="201"/>
      <c r="AS69" s="201"/>
      <c r="AT69" s="201"/>
      <c r="AU69" s="201"/>
      <c r="AV69" s="201"/>
      <c r="AX69" s="201"/>
      <c r="AY69" s="201"/>
      <c r="AZ69" s="201"/>
      <c r="BA69" s="201"/>
    </row>
    <row r="70" spans="38:53" x14ac:dyDescent="0.25">
      <c r="AL70" s="200"/>
      <c r="AM70" s="201"/>
      <c r="AN70" s="201"/>
      <c r="AO70" s="201"/>
      <c r="AP70" s="201"/>
      <c r="AQ70" s="201"/>
      <c r="AS70" s="201"/>
      <c r="AT70" s="201"/>
      <c r="AU70" s="201"/>
      <c r="AV70" s="201"/>
      <c r="AX70" s="201"/>
      <c r="AY70" s="201"/>
      <c r="AZ70" s="201"/>
      <c r="BA70" s="201"/>
    </row>
    <row r="71" spans="38:53" x14ac:dyDescent="0.25">
      <c r="AL71" s="200"/>
      <c r="AM71" s="201"/>
      <c r="AN71" s="201"/>
      <c r="AO71" s="201"/>
      <c r="AP71" s="201"/>
      <c r="AQ71" s="201"/>
      <c r="AS71" s="201"/>
      <c r="AT71" s="201"/>
      <c r="AU71" s="201"/>
      <c r="AV71" s="201"/>
      <c r="AX71" s="201"/>
      <c r="AY71" s="201"/>
      <c r="AZ71" s="201"/>
      <c r="BA71" s="201"/>
    </row>
    <row r="72" spans="38:53" x14ac:dyDescent="0.25">
      <c r="AL72" s="200"/>
      <c r="AM72" s="201"/>
      <c r="AN72" s="201"/>
      <c r="AO72" s="201"/>
      <c r="AP72" s="201"/>
      <c r="AQ72" s="201"/>
      <c r="AS72" s="201"/>
      <c r="AT72" s="201"/>
      <c r="AU72" s="201"/>
      <c r="AV72" s="201"/>
      <c r="AX72" s="201"/>
      <c r="AY72" s="201"/>
      <c r="AZ72" s="201"/>
      <c r="BA72" s="201"/>
    </row>
    <row r="73" spans="38:53" x14ac:dyDescent="0.25">
      <c r="AL73" s="200"/>
      <c r="AM73" s="201"/>
      <c r="AN73" s="201"/>
      <c r="AO73" s="201"/>
      <c r="AP73" s="201"/>
      <c r="AQ73" s="201"/>
      <c r="AS73" s="201"/>
      <c r="AT73" s="201"/>
      <c r="AU73" s="201"/>
      <c r="AV73" s="201"/>
      <c r="AX73" s="201"/>
      <c r="AY73" s="201"/>
      <c r="AZ73" s="201"/>
      <c r="BA73" s="201"/>
    </row>
    <row r="74" spans="38:53" x14ac:dyDescent="0.25">
      <c r="AL74" s="200"/>
      <c r="AM74" s="201"/>
      <c r="AN74" s="201"/>
      <c r="AO74" s="201"/>
      <c r="AP74" s="201"/>
      <c r="AQ74" s="201"/>
      <c r="AS74" s="201"/>
      <c r="AT74" s="201"/>
      <c r="AU74" s="201"/>
      <c r="AV74" s="201"/>
      <c r="AX74" s="201"/>
      <c r="AY74" s="201"/>
      <c r="AZ74" s="201"/>
      <c r="BA74" s="201"/>
    </row>
    <row r="75" spans="38:53" x14ac:dyDescent="0.25">
      <c r="AL75" s="200"/>
      <c r="AM75" s="201"/>
      <c r="AN75" s="201"/>
      <c r="AO75" s="201"/>
      <c r="AP75" s="201"/>
      <c r="AQ75" s="201"/>
      <c r="AS75" s="201"/>
      <c r="AT75" s="201"/>
      <c r="AU75" s="201"/>
      <c r="AV75" s="201"/>
      <c r="AX75" s="201"/>
      <c r="AY75" s="201"/>
      <c r="AZ75" s="201"/>
      <c r="BA75" s="201"/>
    </row>
    <row r="76" spans="38:53" x14ac:dyDescent="0.25">
      <c r="AL76" s="200"/>
      <c r="AM76" s="201"/>
      <c r="AN76" s="201"/>
      <c r="AO76" s="201"/>
      <c r="AP76" s="201"/>
      <c r="AQ76" s="201"/>
      <c r="AS76" s="201"/>
      <c r="AT76" s="201"/>
      <c r="AU76" s="201"/>
      <c r="AV76" s="201"/>
      <c r="AX76" s="201"/>
      <c r="AY76" s="201"/>
      <c r="AZ76" s="201"/>
      <c r="BA76" s="201"/>
    </row>
    <row r="77" spans="38:53" x14ac:dyDescent="0.25">
      <c r="AL77" s="200"/>
      <c r="AM77" s="201"/>
      <c r="AN77" s="201"/>
      <c r="AO77" s="201"/>
      <c r="AP77" s="201"/>
      <c r="AQ77" s="201"/>
      <c r="AS77" s="201"/>
      <c r="AT77" s="201"/>
      <c r="AU77" s="201"/>
      <c r="AV77" s="201"/>
      <c r="AX77" s="201"/>
      <c r="AY77" s="201"/>
      <c r="AZ77" s="201"/>
      <c r="BA77" s="201"/>
    </row>
    <row r="78" spans="38:53" x14ac:dyDescent="0.25">
      <c r="AL78" s="200"/>
      <c r="AM78" s="201"/>
      <c r="AN78" s="201"/>
      <c r="AO78" s="201"/>
      <c r="AP78" s="201"/>
      <c r="AQ78" s="201"/>
      <c r="AS78" s="201"/>
      <c r="AT78" s="201"/>
      <c r="AU78" s="201"/>
      <c r="AV78" s="201"/>
      <c r="AX78" s="201"/>
      <c r="AY78" s="201"/>
      <c r="AZ78" s="201"/>
      <c r="BA78" s="201"/>
    </row>
    <row r="79" spans="38:53" x14ac:dyDescent="0.25">
      <c r="AL79" s="200"/>
      <c r="AM79" s="201"/>
      <c r="AN79" s="201"/>
      <c r="AO79" s="201"/>
      <c r="AP79" s="201"/>
      <c r="AQ79" s="201"/>
      <c r="AS79" s="201"/>
      <c r="AT79" s="201"/>
      <c r="AU79" s="201"/>
      <c r="AV79" s="201"/>
      <c r="AX79" s="201"/>
      <c r="AY79" s="201"/>
      <c r="AZ79" s="201"/>
      <c r="BA79" s="201"/>
    </row>
    <row r="80" spans="38:53" x14ac:dyDescent="0.25">
      <c r="AL80" s="200"/>
      <c r="AM80" s="201"/>
      <c r="AN80" s="201"/>
      <c r="AO80" s="201"/>
      <c r="AP80" s="201"/>
      <c r="AQ80" s="201"/>
      <c r="AS80" s="201"/>
      <c r="AT80" s="201"/>
      <c r="AU80" s="201"/>
      <c r="AV80" s="201"/>
      <c r="AX80" s="201"/>
      <c r="AY80" s="201"/>
      <c r="AZ80" s="201"/>
      <c r="BA80" s="201"/>
    </row>
    <row r="81" spans="38:53" x14ac:dyDescent="0.25">
      <c r="AL81" s="200"/>
      <c r="AM81" s="201"/>
      <c r="AN81" s="201"/>
      <c r="AO81" s="201"/>
      <c r="AP81" s="201"/>
      <c r="AQ81" s="201"/>
      <c r="AS81" s="201"/>
      <c r="AT81" s="201"/>
      <c r="AU81" s="201"/>
      <c r="AV81" s="201"/>
      <c r="AX81" s="201"/>
      <c r="AY81" s="201"/>
      <c r="AZ81" s="201"/>
      <c r="BA81" s="201"/>
    </row>
    <row r="82" spans="38:53" x14ac:dyDescent="0.25">
      <c r="AL82" s="200"/>
      <c r="AM82" s="201"/>
      <c r="AN82" s="201"/>
      <c r="AO82" s="201"/>
      <c r="AP82" s="201"/>
      <c r="AQ82" s="201"/>
      <c r="AS82" s="201"/>
      <c r="AT82" s="201"/>
      <c r="AU82" s="201"/>
      <c r="AV82" s="201"/>
      <c r="AX82" s="201"/>
      <c r="AY82" s="201"/>
      <c r="AZ82" s="201"/>
      <c r="BA82" s="201"/>
    </row>
    <row r="83" spans="38:53" x14ac:dyDescent="0.25">
      <c r="AL83" s="200"/>
      <c r="AM83" s="201"/>
      <c r="AN83" s="201"/>
      <c r="AO83" s="201"/>
      <c r="AP83" s="201"/>
      <c r="AQ83" s="201"/>
      <c r="AS83" s="201"/>
      <c r="AT83" s="201"/>
      <c r="AU83" s="201"/>
      <c r="AV83" s="201"/>
      <c r="AX83" s="201"/>
      <c r="AY83" s="201"/>
      <c r="AZ83" s="201"/>
      <c r="BA83" s="201"/>
    </row>
    <row r="84" spans="38:53" x14ac:dyDescent="0.25">
      <c r="AL84" s="200"/>
      <c r="AM84" s="201"/>
      <c r="AN84" s="201"/>
      <c r="AO84" s="201"/>
      <c r="AP84" s="201"/>
      <c r="AQ84" s="201"/>
      <c r="AS84" s="201"/>
      <c r="AT84" s="201"/>
      <c r="AU84" s="201"/>
      <c r="AV84" s="201"/>
      <c r="AX84" s="201"/>
      <c r="AY84" s="201"/>
      <c r="AZ84" s="201"/>
      <c r="BA84" s="20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5</xdr:col>
                <xdr:colOff>83820</xdr:colOff>
                <xdr:row>0</xdr:row>
                <xdr:rowOff>53340</xdr:rowOff>
              </from>
              <to>
                <xdr:col>7</xdr:col>
                <xdr:colOff>411480</xdr:colOff>
                <xdr:row>2</xdr:row>
                <xdr:rowOff>106680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OptionButton1">
          <controlPr defaultSize="0" autoLine="0" r:id="rId7">
            <anchor moveWithCells="1">
              <from>
                <xdr:col>9</xdr:col>
                <xdr:colOff>114300</xdr:colOff>
                <xdr:row>1</xdr:row>
                <xdr:rowOff>0</xdr:rowOff>
              </from>
              <to>
                <xdr:col>11</xdr:col>
                <xdr:colOff>7620</xdr:colOff>
                <xdr:row>2</xdr:row>
                <xdr:rowOff>83820</xdr:rowOff>
              </to>
            </anchor>
          </controlPr>
        </control>
      </mc:Choice>
      <mc:Fallback>
        <control shapeId="6146" r:id="rId6" name="OptionButton1"/>
      </mc:Fallback>
    </mc:AlternateContent>
    <mc:AlternateContent xmlns:mc="http://schemas.openxmlformats.org/markup-compatibility/2006">
      <mc:Choice Requires="x14">
        <control shapeId="6147" r:id="rId8" name="OptionButton2">
          <controlPr defaultSize="0" autoLine="0" r:id="rId9">
            <anchor moveWithCells="1">
              <from>
                <xdr:col>11</xdr:col>
                <xdr:colOff>342900</xdr:colOff>
                <xdr:row>1</xdr:row>
                <xdr:rowOff>7620</xdr:rowOff>
              </from>
              <to>
                <xdr:col>13</xdr:col>
                <xdr:colOff>236220</xdr:colOff>
                <xdr:row>2</xdr:row>
                <xdr:rowOff>91440</xdr:rowOff>
              </to>
            </anchor>
          </controlPr>
        </control>
      </mc:Choice>
      <mc:Fallback>
        <control shapeId="6147" r:id="rId8" name="OptionButton2"/>
      </mc:Fallback>
    </mc:AlternateContent>
  </controls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a881204a-b756-4133-889e-146bd69134d1.png"/><Relationship Id="backsetup" Type="http://schemas.openxmlformats.org/officeDocument/2006/relationships/image" Target="images/8613696f-0aea-43cb-9e46-e8141dbb2937.png"/><Relationship Id="Logo" Type="http://schemas.openxmlformats.org/officeDocument/2006/relationships/image" Target="images/6201f5ec-0f2b-4b1b-828a-b4ee2e7106b7.png"/><Relationship Id="calc_EOS" Type="http://schemas.openxmlformats.org/officeDocument/2006/relationships/image" Target="images/603ba91e-e696-423d-8871-d77eb28b28dc.png"/><Relationship Id="suma" Type="http://schemas.openxmlformats.org/officeDocument/2006/relationships/image" Target="images/04301315-b15b-4cb6-9962-73569268c687.png"/><Relationship Id="abc" Type="http://schemas.openxmlformats.org/officeDocument/2006/relationships/image" Target="images/811028be-9b27-457d-b248-830c8a924d27.png"/></Relationships>
</file>

<file path=customUI/customUI14.xml><?xml version="1.0" encoding="utf-8"?>
<customUI xmlns="http://schemas.microsoft.com/office/2009/07/customui" onLoad="RibbonOnLoad">
  <ribbon startFromScratch="false">
    <tabs>
      <tab id="ID_PVT_Workbook" label="Fluid Properties" getVisible="GetVisible" tag="FFSA">
        <group id="ID_G_Import_Projects" label="Legal Notice">
          <button id="ID_Logo_and_Legal_Notice" label="Franco Sivila" image="Logo" size="large" screentip="Franco Help" supertip="Legal Notice" onAction="OnAc_Mensaje_Franco"/>
        </group>
        <group id="ID_G_Herramientas" label="VBA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</group>
        <group id="ID_G_Calc_Properties_EOS_Peng_Robinson" label="Gas Properties">
          <button id="ID_Calculate_pseudo_critial_properties" label="Calculate PseudoCritial Prop." image="suma" size="large" screentip="Franco Help" supertip="Calculate pseudo-critial properties based on gas composition." onAction="OnAc_Calculate_pseudo_critial_properties"/>
          <separator id="separator_1"/>
          <button id="ID_Calculate_properties_EOS_Peng_Robinson" label="Calculate Gas Prop." image="calc_EOS" size="large" screentip="Franco Help" supertip="Calculate gas properties using Peng-Robinson EOS." onAction="OnAc_Calculate_properties_EOS_Peng_Robins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Ppc-Tpc Prop Comp.</vt:lpstr>
      <vt:lpstr>Gas Properties</vt:lpstr>
      <vt:lpstr>Plots</vt:lpstr>
      <vt:lpstr>Ppc-Tpc Prop from SGg</vt:lpstr>
      <vt:lpstr>Factor-z EOS PR 1976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</cp:lastModifiedBy>
  <dcterms:created xsi:type="dcterms:W3CDTF">2020-06-22T20:24:59Z</dcterms:created>
  <dcterms:modified xsi:type="dcterms:W3CDTF">2020-08-12T23:48:32Z</dcterms:modified>
</cp:coreProperties>
</file>