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f34798a7-f31f-4578-9f63-b9f67aac9770.png" ContentType="image/.png"/>
  <Override PartName="/customUI/images/79fed974-598d-4b6c-a278-ae57f281a767.png" ContentType="image/.png"/>
  <Override PartName="/customUI/images/48f44c93-08a4-4f92-8b1e-6825a2e91df5.png" ContentType="image/.png"/>
  <Override PartName="/customUI/images/570751b6-eb3f-4808-9930-74256a6770bb.png" ContentType="image/.png"/>
  <Override PartName="/customUI/images/f749a7ab-4b5d-4230-a1d6-81c0a3473eec.png" ContentType="image/.png"/>
  <Override PartName="/customUI/images/773ad9cc-2a1a-49ea-865f-38505637aa61.png" ContentType="image/.png"/>
  <Override PartName="/customUI/images/73e9d04f-4e69-45e1-bb93-3e291c72170b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9f3a05e7e2d4a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Franco Ing\VBA files FF\Fluid Properties\"/>
    </mc:Choice>
  </mc:AlternateContent>
  <xr:revisionPtr revIDLastSave="0" documentId="13_ncr:1_{4FE327DB-96AE-432F-A5E0-CDEB318FA21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pc-Tpc from Comp." sheetId="1" r:id="rId1"/>
    <sheet name="Gas Properties PR EOS" sheetId="4" r:id="rId2"/>
    <sheet name="Plots" sheetId="6" r:id="rId3"/>
    <sheet name="Ppc-Tpc from SGg" sheetId="7" r:id="rId4"/>
    <sheet name="Factor-z EOS PR 1976" sheetId="5" r:id="rId5"/>
    <sheet name="Brown et al (1948)" sheetId="8" r:id="rId6"/>
  </sheets>
  <functionGroups builtInGroupCount="19"/>
  <definedNames>
    <definedName name="AO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4" l="1"/>
  <c r="AB10" i="4"/>
  <c r="AB38" i="4"/>
  <c r="V38" i="4"/>
  <c r="AD38" i="4" s="1"/>
  <c r="AB37" i="4"/>
  <c r="V37" i="4"/>
  <c r="AD37" i="4" s="1"/>
  <c r="AB36" i="4"/>
  <c r="V36" i="4"/>
  <c r="AD36" i="4" s="1"/>
  <c r="AB35" i="4"/>
  <c r="V35" i="4"/>
  <c r="AD35" i="4" s="1"/>
  <c r="AB34" i="4"/>
  <c r="V34" i="4"/>
  <c r="AD34" i="4" s="1"/>
  <c r="AB33" i="4"/>
  <c r="V33" i="4"/>
  <c r="AD33" i="4" s="1"/>
  <c r="AB32" i="4"/>
  <c r="V32" i="4"/>
  <c r="AD32" i="4" s="1"/>
  <c r="AB31" i="4"/>
  <c r="V31" i="4"/>
  <c r="AD31" i="4" s="1"/>
  <c r="AB30" i="4"/>
  <c r="V30" i="4"/>
  <c r="AD30" i="4" s="1"/>
  <c r="AB29" i="4"/>
  <c r="V29" i="4"/>
  <c r="AD29" i="4" s="1"/>
  <c r="AB28" i="4"/>
  <c r="V28" i="4"/>
  <c r="AD28" i="4" s="1"/>
  <c r="AB27" i="4"/>
  <c r="V27" i="4"/>
  <c r="AD27" i="4" s="1"/>
  <c r="AB26" i="4"/>
  <c r="V26" i="4"/>
  <c r="AD26" i="4" s="1"/>
  <c r="AB25" i="4"/>
  <c r="V25" i="4"/>
  <c r="AD25" i="4" s="1"/>
  <c r="AB24" i="4"/>
  <c r="V24" i="4"/>
  <c r="AD24" i="4" s="1"/>
  <c r="AB23" i="4"/>
  <c r="V23" i="4"/>
  <c r="AD23" i="4" s="1"/>
  <c r="AB22" i="4"/>
  <c r="V22" i="4"/>
  <c r="AD22" i="4" s="1"/>
  <c r="AB21" i="4"/>
  <c r="V21" i="4"/>
  <c r="AD21" i="4" s="1"/>
  <c r="AB20" i="4"/>
  <c r="V20" i="4"/>
  <c r="AD20" i="4" s="1"/>
  <c r="AB19" i="4"/>
  <c r="V19" i="4"/>
  <c r="AD19" i="4" s="1"/>
  <c r="AB18" i="4"/>
  <c r="V18" i="4"/>
  <c r="AD18" i="4" s="1"/>
  <c r="AB17" i="4"/>
  <c r="V17" i="4"/>
  <c r="AD17" i="4" s="1"/>
  <c r="AB16" i="4"/>
  <c r="V16" i="4"/>
  <c r="AD16" i="4" s="1"/>
  <c r="AB15" i="4"/>
  <c r="V15" i="4"/>
  <c r="AD15" i="4" s="1"/>
  <c r="AB14" i="4"/>
  <c r="V14" i="4"/>
  <c r="AD14" i="4" s="1"/>
  <c r="AB13" i="4"/>
  <c r="V13" i="4"/>
  <c r="AD13" i="4" s="1"/>
  <c r="AB12" i="4"/>
  <c r="AA12" i="4"/>
  <c r="V12" i="4"/>
  <c r="AD12" i="4" s="1"/>
  <c r="AB11" i="4"/>
  <c r="V11" i="4"/>
  <c r="AD11" i="4" s="1"/>
  <c r="AD10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T14" i="1"/>
  <c r="V39" i="4"/>
  <c r="X39" i="4" s="1"/>
  <c r="V40" i="4"/>
  <c r="Y40" i="4" s="1"/>
  <c r="X40" i="4"/>
  <c r="AD40" i="4"/>
  <c r="V41" i="4"/>
  <c r="X41" i="4" s="1"/>
  <c r="V42" i="4"/>
  <c r="Y42" i="4" s="1"/>
  <c r="X42" i="4"/>
  <c r="AD42" i="4"/>
  <c r="V43" i="4"/>
  <c r="X43" i="4" s="1"/>
  <c r="V44" i="4"/>
  <c r="Y44" i="4" s="1"/>
  <c r="V45" i="4"/>
  <c r="X45" i="4" s="1"/>
  <c r="V46" i="4"/>
  <c r="Y46" i="4" s="1"/>
  <c r="X46" i="4"/>
  <c r="AD46" i="4"/>
  <c r="V47" i="4"/>
  <c r="X47" i="4" s="1"/>
  <c r="V48" i="4"/>
  <c r="Y48" i="4" s="1"/>
  <c r="X48" i="4"/>
  <c r="AD48" i="4"/>
  <c r="V49" i="4"/>
  <c r="X49" i="4" s="1"/>
  <c r="V50" i="4"/>
  <c r="Y50" i="4" s="1"/>
  <c r="X50" i="4"/>
  <c r="AD50" i="4"/>
  <c r="V51" i="4"/>
  <c r="X51" i="4" s="1"/>
  <c r="V52" i="4"/>
  <c r="Y52" i="4" s="1"/>
  <c r="X52" i="4"/>
  <c r="AD52" i="4"/>
  <c r="V53" i="4"/>
  <c r="X53" i="4" s="1"/>
  <c r="V54" i="4"/>
  <c r="Y54" i="4" s="1"/>
  <c r="X54" i="4"/>
  <c r="AD54" i="4"/>
  <c r="V55" i="4"/>
  <c r="X55" i="4" s="1"/>
  <c r="V56" i="4"/>
  <c r="Y56" i="4" s="1"/>
  <c r="X56" i="4"/>
  <c r="AD56" i="4"/>
  <c r="V57" i="4"/>
  <c r="X57" i="4" s="1"/>
  <c r="V58" i="4"/>
  <c r="Y58" i="4" s="1"/>
  <c r="X58" i="4"/>
  <c r="AD58" i="4"/>
  <c r="V59" i="4"/>
  <c r="X59" i="4" s="1"/>
  <c r="V60" i="4"/>
  <c r="Y60" i="4" s="1"/>
  <c r="X60" i="4"/>
  <c r="AD60" i="4"/>
  <c r="V61" i="4"/>
  <c r="X61" i="4" s="1"/>
  <c r="V62" i="4"/>
  <c r="Y62" i="4" s="1"/>
  <c r="X62" i="4"/>
  <c r="AD62" i="4"/>
  <c r="V63" i="4"/>
  <c r="X63" i="4" s="1"/>
  <c r="V64" i="4"/>
  <c r="Y64" i="4" s="1"/>
  <c r="X64" i="4"/>
  <c r="AD64" i="4"/>
  <c r="V65" i="4"/>
  <c r="X65" i="4" s="1"/>
  <c r="V66" i="4"/>
  <c r="Y66" i="4" s="1"/>
  <c r="X66" i="4"/>
  <c r="AD66" i="4"/>
  <c r="V67" i="4"/>
  <c r="X67" i="4" s="1"/>
  <c r="V68" i="4"/>
  <c r="Y68" i="4" s="1"/>
  <c r="X68" i="4"/>
  <c r="AD68" i="4"/>
  <c r="V69" i="4"/>
  <c r="X69" i="4" s="1"/>
  <c r="V70" i="4"/>
  <c r="Y70" i="4" s="1"/>
  <c r="X70" i="4"/>
  <c r="AD70" i="4"/>
  <c r="V71" i="4"/>
  <c r="X71" i="4" s="1"/>
  <c r="V72" i="4"/>
  <c r="Y72" i="4" s="1"/>
  <c r="X72" i="4"/>
  <c r="AD72" i="4"/>
  <c r="V73" i="4"/>
  <c r="X73" i="4" s="1"/>
  <c r="V74" i="4"/>
  <c r="Y74" i="4" s="1"/>
  <c r="X74" i="4"/>
  <c r="AD74" i="4"/>
  <c r="V75" i="4"/>
  <c r="X75" i="4" s="1"/>
  <c r="V76" i="4"/>
  <c r="Y76" i="4" s="1"/>
  <c r="X76" i="4"/>
  <c r="AD76" i="4"/>
  <c r="V77" i="4"/>
  <c r="X77" i="4" s="1"/>
  <c r="V78" i="4"/>
  <c r="Y78" i="4" s="1"/>
  <c r="X78" i="4"/>
  <c r="AD78" i="4"/>
  <c r="V79" i="4"/>
  <c r="X79" i="4" s="1"/>
  <c r="V80" i="4"/>
  <c r="Y80" i="4" s="1"/>
  <c r="X80" i="4"/>
  <c r="AD80" i="4"/>
  <c r="V81" i="4"/>
  <c r="X81" i="4" s="1"/>
  <c r="V82" i="4"/>
  <c r="Y82" i="4" s="1"/>
  <c r="X82" i="4"/>
  <c r="AD82" i="4"/>
  <c r="V83" i="4"/>
  <c r="X83" i="4" s="1"/>
  <c r="V84" i="4"/>
  <c r="Y84" i="4" s="1"/>
  <c r="AD84" i="4"/>
  <c r="V85" i="4"/>
  <c r="X85" i="4" s="1"/>
  <c r="V86" i="4"/>
  <c r="Y86" i="4" s="1"/>
  <c r="X86" i="4"/>
  <c r="AD86" i="4"/>
  <c r="V87" i="4"/>
  <c r="X87" i="4" s="1"/>
  <c r="V88" i="4"/>
  <c r="Y88" i="4" s="1"/>
  <c r="X88" i="4"/>
  <c r="AD88" i="4"/>
  <c r="V89" i="4"/>
  <c r="X89" i="4" s="1"/>
  <c r="V90" i="4"/>
  <c r="Y90" i="4" s="1"/>
  <c r="X90" i="4"/>
  <c r="AD90" i="4"/>
  <c r="V91" i="4"/>
  <c r="X91" i="4" s="1"/>
  <c r="V92" i="4"/>
  <c r="Y92" i="4" s="1"/>
  <c r="X92" i="4"/>
  <c r="AD92" i="4"/>
  <c r="V93" i="4"/>
  <c r="X93" i="4" s="1"/>
  <c r="V94" i="4"/>
  <c r="Y94" i="4" s="1"/>
  <c r="X94" i="4"/>
  <c r="AD94" i="4"/>
  <c r="V95" i="4"/>
  <c r="X95" i="4" s="1"/>
  <c r="V96" i="4"/>
  <c r="Y96" i="4" s="1"/>
  <c r="X96" i="4"/>
  <c r="AD96" i="4"/>
  <c r="V97" i="4"/>
  <c r="X97" i="4" s="1"/>
  <c r="V98" i="4"/>
  <c r="Y98" i="4" s="1"/>
  <c r="X98" i="4"/>
  <c r="AD98" i="4"/>
  <c r="V99" i="4"/>
  <c r="X99" i="4" s="1"/>
  <c r="V100" i="4"/>
  <c r="Y100" i="4" s="1"/>
  <c r="X100" i="4"/>
  <c r="AD100" i="4"/>
  <c r="V101" i="4"/>
  <c r="Y101" i="4" s="1"/>
  <c r="V102" i="4"/>
  <c r="Y102" i="4" s="1"/>
  <c r="X102" i="4"/>
  <c r="V103" i="4"/>
  <c r="Y103" i="4" s="1"/>
  <c r="X103" i="4"/>
  <c r="V104" i="4"/>
  <c r="Y104" i="4" s="1"/>
  <c r="X104" i="4"/>
  <c r="AD104" i="4"/>
  <c r="V105" i="4"/>
  <c r="Y105" i="4" s="1"/>
  <c r="X105" i="4"/>
  <c r="V106" i="4"/>
  <c r="Y106" i="4" s="1"/>
  <c r="V107" i="4"/>
  <c r="Y107" i="4" s="1"/>
  <c r="V108" i="4"/>
  <c r="Y108" i="4" s="1"/>
  <c r="X108" i="4"/>
  <c r="AD108" i="4"/>
  <c r="V109" i="4"/>
  <c r="Y109" i="4" s="1"/>
  <c r="C11" i="8"/>
  <c r="C10" i="8"/>
  <c r="D12" i="8"/>
  <c r="D13" i="8"/>
  <c r="D11" i="8"/>
  <c r="D10" i="8"/>
  <c r="D15" i="8"/>
  <c r="D14" i="8"/>
  <c r="D17" i="8"/>
  <c r="D16" i="8"/>
  <c r="D18" i="8"/>
  <c r="D20" i="8"/>
  <c r="D19" i="8"/>
  <c r="X109" i="4" l="1"/>
  <c r="X84" i="4"/>
  <c r="AD44" i="4"/>
  <c r="X44" i="4"/>
  <c r="Z38" i="4"/>
  <c r="AA37" i="4"/>
  <c r="Z37" i="4"/>
  <c r="AA36" i="4"/>
  <c r="AA34" i="4"/>
  <c r="AA30" i="4"/>
  <c r="Z30" i="4"/>
  <c r="AA29" i="4"/>
  <c r="Z29" i="4"/>
  <c r="Z27" i="4"/>
  <c r="AA27" i="4"/>
  <c r="AA23" i="4"/>
  <c r="Z23" i="4"/>
  <c r="X23" i="4"/>
  <c r="Z22" i="4"/>
  <c r="AA22" i="4"/>
  <c r="AA20" i="4"/>
  <c r="Z20" i="4"/>
  <c r="AA19" i="4"/>
  <c r="X15" i="4"/>
  <c r="AA15" i="4"/>
  <c r="Z15" i="4"/>
  <c r="Z13" i="4"/>
  <c r="X13" i="4"/>
  <c r="AA13" i="4"/>
  <c r="AA11" i="4"/>
  <c r="AA31" i="4"/>
  <c r="Z35" i="4"/>
  <c r="Z10" i="4"/>
  <c r="Z14" i="4"/>
  <c r="Z21" i="4"/>
  <c r="AA28" i="4"/>
  <c r="AA35" i="4"/>
  <c r="X25" i="4"/>
  <c r="Z32" i="4"/>
  <c r="X11" i="4"/>
  <c r="Z18" i="4"/>
  <c r="Z25" i="4"/>
  <c r="AA32" i="4"/>
  <c r="X31" i="4"/>
  <c r="X17" i="4"/>
  <c r="X35" i="4"/>
  <c r="X21" i="4"/>
  <c r="AA10" i="4"/>
  <c r="AA14" i="4"/>
  <c r="AA21" i="4"/>
  <c r="AD102" i="4"/>
  <c r="Z11" i="4"/>
  <c r="AA18" i="4"/>
  <c r="AA25" i="4"/>
  <c r="X29" i="4"/>
  <c r="AC29" i="4" s="1"/>
  <c r="Z36" i="4"/>
  <c r="Z24" i="4"/>
  <c r="Z31" i="4"/>
  <c r="Z28" i="4"/>
  <c r="X101" i="4"/>
  <c r="X19" i="4"/>
  <c r="Z26" i="4"/>
  <c r="Z33" i="4"/>
  <c r="AA38" i="4"/>
  <c r="Z17" i="4"/>
  <c r="AA24" i="4"/>
  <c r="AA17" i="4"/>
  <c r="X33" i="4"/>
  <c r="X107" i="4"/>
  <c r="Z12" i="4"/>
  <c r="Z19" i="4"/>
  <c r="AA26" i="4"/>
  <c r="AA33" i="4"/>
  <c r="X37" i="4"/>
  <c r="AD106" i="4"/>
  <c r="Z16" i="4"/>
  <c r="X106" i="4"/>
  <c r="AA16" i="4"/>
  <c r="X27" i="4"/>
  <c r="Z34" i="4"/>
  <c r="AC21" i="4"/>
  <c r="Y11" i="4"/>
  <c r="Y13" i="4"/>
  <c r="AC13" i="4" s="1"/>
  <c r="Y15" i="4"/>
  <c r="Y17" i="4"/>
  <c r="Y19" i="4"/>
  <c r="Y21" i="4"/>
  <c r="Y23" i="4"/>
  <c r="AC23" i="4" s="1"/>
  <c r="Y25" i="4"/>
  <c r="Y27" i="4"/>
  <c r="AC27" i="4" s="1"/>
  <c r="Y29" i="4"/>
  <c r="Y31" i="4"/>
  <c r="Y33" i="4"/>
  <c r="Y35" i="4"/>
  <c r="Y37" i="4"/>
  <c r="AC37" i="4" s="1"/>
  <c r="X10" i="4"/>
  <c r="X12" i="4"/>
  <c r="X14" i="4"/>
  <c r="AC14" i="4" s="1"/>
  <c r="X16" i="4"/>
  <c r="X18" i="4"/>
  <c r="X20" i="4"/>
  <c r="AC20" i="4" s="1"/>
  <c r="X22" i="4"/>
  <c r="X24" i="4"/>
  <c r="X26" i="4"/>
  <c r="X28" i="4"/>
  <c r="X30" i="4"/>
  <c r="X32" i="4"/>
  <c r="X34" i="4"/>
  <c r="X36" i="4"/>
  <c r="AC36" i="4" s="1"/>
  <c r="X38" i="4"/>
  <c r="Y10" i="4"/>
  <c r="Y12" i="4"/>
  <c r="Y14" i="4"/>
  <c r="Y16" i="4"/>
  <c r="Y18" i="4"/>
  <c r="Y20" i="4"/>
  <c r="Y22" i="4"/>
  <c r="Y24" i="4"/>
  <c r="Y26" i="4"/>
  <c r="Y28" i="4"/>
  <c r="Y30" i="4"/>
  <c r="Y32" i="4"/>
  <c r="Y34" i="4"/>
  <c r="Y36" i="4"/>
  <c r="Y38" i="4"/>
  <c r="AC94" i="4"/>
  <c r="AC60" i="4"/>
  <c r="AA108" i="4"/>
  <c r="AA106" i="4"/>
  <c r="AC106" i="4" s="1"/>
  <c r="AA102" i="4"/>
  <c r="AA98" i="4"/>
  <c r="AA94" i="4"/>
  <c r="AA92" i="4"/>
  <c r="AA90" i="4"/>
  <c r="AA84" i="4"/>
  <c r="AA82" i="4"/>
  <c r="AA80" i="4"/>
  <c r="AA78" i="4"/>
  <c r="AA76" i="4"/>
  <c r="AA74" i="4"/>
  <c r="AA72" i="4"/>
  <c r="AA70" i="4"/>
  <c r="AA68" i="4"/>
  <c r="AC68" i="4" s="1"/>
  <c r="AA66" i="4"/>
  <c r="AC66" i="4" s="1"/>
  <c r="AA64" i="4"/>
  <c r="AA62" i="4"/>
  <c r="AA60" i="4"/>
  <c r="AA58" i="4"/>
  <c r="AA56" i="4"/>
  <c r="AA54" i="4"/>
  <c r="AA52" i="4"/>
  <c r="AA50" i="4"/>
  <c r="AA48" i="4"/>
  <c r="AA46" i="4"/>
  <c r="AA44" i="4"/>
  <c r="AA42" i="4"/>
  <c r="AC42" i="4" s="1"/>
  <c r="AA40" i="4"/>
  <c r="AC40" i="4" s="1"/>
  <c r="AA100" i="4"/>
  <c r="AA88" i="4"/>
  <c r="Z108" i="4"/>
  <c r="Z104" i="4"/>
  <c r="Z100" i="4"/>
  <c r="Z98" i="4"/>
  <c r="Z96" i="4"/>
  <c r="Z94" i="4"/>
  <c r="Z92" i="4"/>
  <c r="Z90" i="4"/>
  <c r="Z88" i="4"/>
  <c r="Z86" i="4"/>
  <c r="Z84" i="4"/>
  <c r="Z82" i="4"/>
  <c r="Z80" i="4"/>
  <c r="Z78" i="4"/>
  <c r="AC78" i="4" s="1"/>
  <c r="Z76" i="4"/>
  <c r="AC76" i="4" s="1"/>
  <c r="Z74" i="4"/>
  <c r="Z72" i="4"/>
  <c r="AC72" i="4" s="1"/>
  <c r="Z70" i="4"/>
  <c r="Z68" i="4"/>
  <c r="Z66" i="4"/>
  <c r="Z64" i="4"/>
  <c r="Z62" i="4"/>
  <c r="Z60" i="4"/>
  <c r="Z58" i="4"/>
  <c r="Z56" i="4"/>
  <c r="Z54" i="4"/>
  <c r="Z52" i="4"/>
  <c r="Z50" i="4"/>
  <c r="Z48" i="4"/>
  <c r="Z46" i="4"/>
  <c r="AC46" i="4" s="1"/>
  <c r="Z44" i="4"/>
  <c r="AC44" i="4" s="1"/>
  <c r="Z42" i="4"/>
  <c r="Z40" i="4"/>
  <c r="AA104" i="4"/>
  <c r="AC104" i="4" s="1"/>
  <c r="AA96" i="4"/>
  <c r="AA86" i="4"/>
  <c r="Z106" i="4"/>
  <c r="Z102" i="4"/>
  <c r="AD107" i="4"/>
  <c r="AD103" i="4"/>
  <c r="AD99" i="4"/>
  <c r="AD95" i="4"/>
  <c r="AD91" i="4"/>
  <c r="AD87" i="4"/>
  <c r="AD85" i="4"/>
  <c r="AD81" i="4"/>
  <c r="AD79" i="4"/>
  <c r="AD77" i="4"/>
  <c r="AD75" i="4"/>
  <c r="AD73" i="4"/>
  <c r="AD71" i="4"/>
  <c r="AD69" i="4"/>
  <c r="AD67" i="4"/>
  <c r="AD65" i="4"/>
  <c r="AD63" i="4"/>
  <c r="AD61" i="4"/>
  <c r="AD59" i="4"/>
  <c r="AD57" i="4"/>
  <c r="AD55" i="4"/>
  <c r="AD53" i="4"/>
  <c r="AD51" i="4"/>
  <c r="AD49" i="4"/>
  <c r="AD47" i="4"/>
  <c r="AD45" i="4"/>
  <c r="AD43" i="4"/>
  <c r="AD41" i="4"/>
  <c r="AD39" i="4"/>
  <c r="AD109" i="4"/>
  <c r="AD105" i="4"/>
  <c r="AD101" i="4"/>
  <c r="AD97" i="4"/>
  <c r="AD93" i="4"/>
  <c r="AD89" i="4"/>
  <c r="AD83" i="4"/>
  <c r="AA109" i="4"/>
  <c r="AA107" i="4"/>
  <c r="AA105" i="4"/>
  <c r="AA103" i="4"/>
  <c r="AA101" i="4"/>
  <c r="AC101" i="4" s="1"/>
  <c r="AA99" i="4"/>
  <c r="AA97" i="4"/>
  <c r="AA95" i="4"/>
  <c r="AA93" i="4"/>
  <c r="AA91" i="4"/>
  <c r="AA89" i="4"/>
  <c r="AA87" i="4"/>
  <c r="AA85" i="4"/>
  <c r="AA83" i="4"/>
  <c r="AA81" i="4"/>
  <c r="AA79" i="4"/>
  <c r="AA77" i="4"/>
  <c r="AA75" i="4"/>
  <c r="AA73" i="4"/>
  <c r="AA71" i="4"/>
  <c r="AA69" i="4"/>
  <c r="AA67" i="4"/>
  <c r="AA65" i="4"/>
  <c r="AA63" i="4"/>
  <c r="AA61" i="4"/>
  <c r="AA59" i="4"/>
  <c r="AA57" i="4"/>
  <c r="AA55" i="4"/>
  <c r="AA53" i="4"/>
  <c r="AA51" i="4"/>
  <c r="AA49" i="4"/>
  <c r="AA47" i="4"/>
  <c r="AA45" i="4"/>
  <c r="AA43" i="4"/>
  <c r="AA41" i="4"/>
  <c r="AA39" i="4"/>
  <c r="Z109" i="4"/>
  <c r="AC109" i="4" s="1"/>
  <c r="Z107" i="4"/>
  <c r="Z105" i="4"/>
  <c r="Z103" i="4"/>
  <c r="AC103" i="4" s="1"/>
  <c r="Z101" i="4"/>
  <c r="Z99" i="4"/>
  <c r="Z97" i="4"/>
  <c r="Z95" i="4"/>
  <c r="Z93" i="4"/>
  <c r="Z91" i="4"/>
  <c r="Z89" i="4"/>
  <c r="AC89" i="4" s="1"/>
  <c r="Z87" i="4"/>
  <c r="Z85" i="4"/>
  <c r="Z83" i="4"/>
  <c r="Z81" i="4"/>
  <c r="Z79" i="4"/>
  <c r="Z77" i="4"/>
  <c r="Z75" i="4"/>
  <c r="Z73" i="4"/>
  <c r="Z71" i="4"/>
  <c r="Z69" i="4"/>
  <c r="Z67" i="4"/>
  <c r="Z65" i="4"/>
  <c r="Z63" i="4"/>
  <c r="Z61" i="4"/>
  <c r="Z59" i="4"/>
  <c r="AC59" i="4" s="1"/>
  <c r="Z57" i="4"/>
  <c r="Z55" i="4"/>
  <c r="Z53" i="4"/>
  <c r="Z51" i="4"/>
  <c r="Z49" i="4"/>
  <c r="Z47" i="4"/>
  <c r="Z45" i="4"/>
  <c r="Z43" i="4"/>
  <c r="Z41" i="4"/>
  <c r="Z39" i="4"/>
  <c r="Y99" i="4"/>
  <c r="Y97" i="4"/>
  <c r="Y95" i="4"/>
  <c r="Y93" i="4"/>
  <c r="AC93" i="4" s="1"/>
  <c r="Y91" i="4"/>
  <c r="Y89" i="4"/>
  <c r="Y87" i="4"/>
  <c r="Y85" i="4"/>
  <c r="Y83" i="4"/>
  <c r="Y81" i="4"/>
  <c r="Y79" i="4"/>
  <c r="Y77" i="4"/>
  <c r="AC77" i="4" s="1"/>
  <c r="Y75" i="4"/>
  <c r="Y73" i="4"/>
  <c r="Y71" i="4"/>
  <c r="Y69" i="4"/>
  <c r="Y67" i="4"/>
  <c r="Y65" i="4"/>
  <c r="Y63" i="4"/>
  <c r="Y61" i="4"/>
  <c r="Y59" i="4"/>
  <c r="Y57" i="4"/>
  <c r="AC57" i="4" s="1"/>
  <c r="Y55" i="4"/>
  <c r="Y53" i="4"/>
  <c r="Y51" i="4"/>
  <c r="Y49" i="4"/>
  <c r="Y47" i="4"/>
  <c r="Y45" i="4"/>
  <c r="Y43" i="4"/>
  <c r="Y41" i="4"/>
  <c r="Y39" i="4"/>
  <c r="P11" i="1"/>
  <c r="T13" i="1" s="1"/>
  <c r="D21" i="1"/>
  <c r="F19" i="8"/>
  <c r="E11" i="8"/>
  <c r="E14" i="8"/>
  <c r="C16" i="8"/>
  <c r="F16" i="8"/>
  <c r="E17" i="8"/>
  <c r="C15" i="7"/>
  <c r="E15" i="8"/>
  <c r="C18" i="8"/>
  <c r="C16" i="7"/>
  <c r="C15" i="8"/>
  <c r="E12" i="8"/>
  <c r="E18" i="8"/>
  <c r="F13" i="8"/>
  <c r="AG10" i="7"/>
  <c r="E16" i="8"/>
  <c r="F14" i="8"/>
  <c r="F15" i="8"/>
  <c r="C17" i="8"/>
  <c r="F12" i="8"/>
  <c r="C20" i="8"/>
  <c r="C14" i="8"/>
  <c r="C13" i="8"/>
  <c r="E10" i="8"/>
  <c r="F11" i="8"/>
  <c r="E13" i="8"/>
  <c r="E19" i="8"/>
  <c r="F18" i="8"/>
  <c r="F10" i="8"/>
  <c r="C19" i="8"/>
  <c r="F20" i="8"/>
  <c r="E20" i="8"/>
  <c r="C12" i="8"/>
  <c r="F17" i="8"/>
  <c r="AC107" i="4" l="1"/>
  <c r="AC105" i="4"/>
  <c r="AC102" i="4"/>
  <c r="AC99" i="4"/>
  <c r="AC88" i="4"/>
  <c r="AC82" i="4"/>
  <c r="AC80" i="4"/>
  <c r="AC75" i="4"/>
  <c r="AC70" i="4"/>
  <c r="AC69" i="4"/>
  <c r="AC67" i="4"/>
  <c r="AC64" i="4"/>
  <c r="AC63" i="4"/>
  <c r="AC58" i="4"/>
  <c r="AC56" i="4"/>
  <c r="AC54" i="4"/>
  <c r="AC53" i="4"/>
  <c r="AC52" i="4"/>
  <c r="AC51" i="4"/>
  <c r="AC50" i="4"/>
  <c r="AC48" i="4"/>
  <c r="AC43" i="4"/>
  <c r="AC41" i="4"/>
  <c r="AC34" i="4"/>
  <c r="AC33" i="4"/>
  <c r="AC31" i="4"/>
  <c r="AC25" i="4"/>
  <c r="AC15" i="4"/>
  <c r="AC12" i="4"/>
  <c r="AC11" i="4"/>
  <c r="AC90" i="4"/>
  <c r="AC26" i="4"/>
  <c r="AC65" i="4"/>
  <c r="AC97" i="4"/>
  <c r="AC86" i="4"/>
  <c r="AC98" i="4"/>
  <c r="AC91" i="4"/>
  <c r="AC95" i="4"/>
  <c r="AC92" i="4"/>
  <c r="AC96" i="4"/>
  <c r="AC100" i="4"/>
  <c r="AC62" i="4"/>
  <c r="AC22" i="4"/>
  <c r="AC19" i="4"/>
  <c r="AC87" i="4"/>
  <c r="AC17" i="4"/>
  <c r="AC39" i="4"/>
  <c r="AC71" i="4"/>
  <c r="AC73" i="4"/>
  <c r="AC108" i="4"/>
  <c r="AC18" i="4"/>
  <c r="AC74" i="4"/>
  <c r="AC16" i="4"/>
  <c r="AC79" i="4"/>
  <c r="AC10" i="4"/>
  <c r="AC47" i="4"/>
  <c r="AC49" i="4"/>
  <c r="AC81" i="4"/>
  <c r="AC83" i="4"/>
  <c r="AC85" i="4"/>
  <c r="AC45" i="4"/>
  <c r="AC84" i="4"/>
  <c r="AC38" i="4"/>
  <c r="AC35" i="4"/>
  <c r="AC55" i="4"/>
  <c r="AC61" i="4"/>
  <c r="AC32" i="4"/>
  <c r="AC30" i="4"/>
  <c r="AC28" i="4"/>
  <c r="AC24" i="4"/>
  <c r="C35" i="7"/>
  <c r="C34" i="7"/>
  <c r="C36" i="7" s="1"/>
  <c r="AL10" i="7"/>
  <c r="AM13" i="7"/>
  <c r="AF11" i="7"/>
  <c r="AC16" i="7"/>
  <c r="AH13" i="7"/>
  <c r="C27" i="7"/>
  <c r="G9" i="7"/>
  <c r="AJ17" i="7"/>
  <c r="AL13" i="7"/>
  <c r="AK15" i="7"/>
  <c r="AK18" i="7"/>
  <c r="AF15" i="7"/>
  <c r="AK16" i="7"/>
  <c r="AB10" i="7"/>
  <c r="AH19" i="7"/>
  <c r="AL14" i="7"/>
  <c r="AI15" i="7"/>
  <c r="AM16" i="7"/>
  <c r="AM10" i="7"/>
  <c r="AM11" i="7"/>
  <c r="AB18" i="7"/>
  <c r="AH14" i="7"/>
  <c r="AK14" i="7"/>
  <c r="G15" i="7"/>
  <c r="AK12" i="7"/>
  <c r="AE16" i="7"/>
  <c r="AH12" i="7"/>
  <c r="AB11" i="7"/>
  <c r="AM17" i="7"/>
  <c r="AC17" i="7"/>
  <c r="AE20" i="7"/>
  <c r="AI13" i="7"/>
  <c r="AC18" i="7"/>
  <c r="AF17" i="7"/>
  <c r="AE18" i="7"/>
  <c r="AI14" i="7"/>
  <c r="AH17" i="7"/>
  <c r="AC12" i="7"/>
  <c r="AM19" i="7"/>
  <c r="AC13" i="7"/>
  <c r="AC19" i="7"/>
  <c r="AJ19" i="7"/>
  <c r="AB13" i="7"/>
  <c r="AJ12" i="7"/>
  <c r="AD18" i="7"/>
  <c r="AF14" i="7"/>
  <c r="AK11" i="7"/>
  <c r="AL18" i="7"/>
  <c r="AB12" i="7"/>
  <c r="AG17" i="7"/>
  <c r="AB19" i="7"/>
  <c r="AI11" i="7"/>
  <c r="AD10" i="7"/>
  <c r="AM14" i="7"/>
  <c r="AG15" i="7"/>
  <c r="AJ20" i="7"/>
  <c r="AH11" i="7"/>
  <c r="AG12" i="7"/>
  <c r="AL19" i="7"/>
  <c r="AC11" i="7"/>
  <c r="AE10" i="7"/>
  <c r="AJ14" i="7"/>
  <c r="AB20" i="7"/>
  <c r="AG13" i="7"/>
  <c r="AD11" i="7"/>
  <c r="AF16" i="7"/>
  <c r="AB16" i="7"/>
  <c r="AB15" i="7"/>
  <c r="AG16" i="7"/>
  <c r="AH10" i="7"/>
  <c r="AG18" i="7"/>
  <c r="AD17" i="7"/>
  <c r="AC20" i="7"/>
  <c r="AB17" i="7"/>
  <c r="AE12" i="7"/>
  <c r="AH18" i="7"/>
  <c r="C9" i="7"/>
  <c r="AM12" i="7"/>
  <c r="G10" i="7"/>
  <c r="AF12" i="7"/>
  <c r="AJ15" i="7"/>
  <c r="AL15" i="7"/>
  <c r="AL12" i="7"/>
  <c r="AI10" i="7"/>
  <c r="AD15" i="7"/>
  <c r="C22" i="7"/>
  <c r="AI16" i="7"/>
  <c r="AI19" i="7"/>
  <c r="AH16" i="7"/>
  <c r="AC15" i="7"/>
  <c r="AM15" i="7"/>
  <c r="AE19" i="7"/>
  <c r="AL11" i="7"/>
  <c r="AD12" i="7"/>
  <c r="AE11" i="7"/>
  <c r="AI18" i="7"/>
  <c r="AD20" i="7"/>
  <c r="AI20" i="7"/>
  <c r="AI17" i="7"/>
  <c r="AD19" i="7"/>
  <c r="G21" i="7"/>
  <c r="AH15" i="7"/>
  <c r="AD13" i="7"/>
  <c r="AJ10" i="7"/>
  <c r="AF10" i="7"/>
  <c r="AJ18" i="7"/>
  <c r="AI12" i="7"/>
  <c r="AJ13" i="7"/>
  <c r="AE14" i="7"/>
  <c r="AE17" i="7"/>
  <c r="AG19" i="7"/>
  <c r="AJ11" i="7"/>
  <c r="AJ16" i="7"/>
  <c r="C28" i="7"/>
  <c r="AF13" i="7"/>
  <c r="AK20" i="7"/>
  <c r="AG11" i="7"/>
  <c r="AL16" i="7"/>
  <c r="C10" i="7"/>
  <c r="AK19" i="7"/>
  <c r="AF20" i="7"/>
  <c r="AC14" i="7"/>
  <c r="AE13" i="7"/>
  <c r="AF19" i="7"/>
  <c r="G22" i="7"/>
  <c r="AL20" i="7"/>
  <c r="AH20" i="7"/>
  <c r="AL17" i="7"/>
  <c r="AF18" i="7"/>
  <c r="AC10" i="7"/>
  <c r="G16" i="7"/>
  <c r="AK10" i="7"/>
  <c r="AD14" i="7"/>
  <c r="AK13" i="7"/>
  <c r="C21" i="7"/>
  <c r="AM18" i="7"/>
  <c r="AK17" i="7"/>
  <c r="AG20" i="7"/>
  <c r="AB14" i="7"/>
  <c r="AM20" i="7"/>
  <c r="AD16" i="7"/>
  <c r="AG14" i="7"/>
  <c r="AE15" i="7"/>
  <c r="C12" i="7" l="1"/>
  <c r="C18" i="7"/>
  <c r="C17" i="7" s="1"/>
  <c r="AH32" i="7"/>
  <c r="AB32" i="7" s="1"/>
  <c r="AI33" i="7"/>
  <c r="AC33" i="7" s="1"/>
  <c r="AJ34" i="7"/>
  <c r="AK35" i="7"/>
  <c r="AL28" i="7"/>
  <c r="AF28" i="7" s="1"/>
  <c r="AM33" i="7"/>
  <c r="AG33" i="7" s="1"/>
  <c r="AD27" i="7"/>
  <c r="AE28" i="7"/>
  <c r="AH29" i="7"/>
  <c r="AB29" i="7" s="1"/>
  <c r="AI30" i="7"/>
  <c r="AC30" i="7" s="1"/>
  <c r="AH30" i="7"/>
  <c r="AB30" i="7" s="1"/>
  <c r="AH34" i="7"/>
  <c r="AB34" i="7" s="1"/>
  <c r="AI31" i="7"/>
  <c r="AC31" i="7" s="1"/>
  <c r="AJ28" i="7"/>
  <c r="AK25" i="7"/>
  <c r="AK29" i="7"/>
  <c r="AL26" i="7"/>
  <c r="AF26" i="7" s="1"/>
  <c r="AL30" i="7"/>
  <c r="AF30" i="7" s="1"/>
  <c r="AL34" i="7"/>
  <c r="AF34" i="7" s="1"/>
  <c r="AM27" i="7"/>
  <c r="AG27" i="7" s="1"/>
  <c r="AD29" i="7"/>
  <c r="AD33" i="7"/>
  <c r="AE30" i="7"/>
  <c r="AE34" i="7"/>
  <c r="AH27" i="7"/>
  <c r="AB27" i="7" s="1"/>
  <c r="AH31" i="7"/>
  <c r="AB31" i="7" s="1"/>
  <c r="AH35" i="7"/>
  <c r="AB35" i="7" s="1"/>
  <c r="AI28" i="7"/>
  <c r="AC28" i="7" s="1"/>
  <c r="AI32" i="7"/>
  <c r="AC32" i="7" s="1"/>
  <c r="AJ25" i="7"/>
  <c r="AJ29" i="7"/>
  <c r="AJ33" i="7"/>
  <c r="AK26" i="7"/>
  <c r="AK30" i="7"/>
  <c r="AK34" i="7"/>
  <c r="AL27" i="7"/>
  <c r="AF27" i="7" s="1"/>
  <c r="AL31" i="7"/>
  <c r="AF31" i="7" s="1"/>
  <c r="AL35" i="7"/>
  <c r="AF35" i="7" s="1"/>
  <c r="AM28" i="7"/>
  <c r="AG28" i="7" s="1"/>
  <c r="AM32" i="7"/>
  <c r="AG32" i="7" s="1"/>
  <c r="AI29" i="7"/>
  <c r="AC29" i="7" s="1"/>
  <c r="AK27" i="7"/>
  <c r="AM25" i="7"/>
  <c r="AG25" i="7" s="1"/>
  <c r="AD35" i="7"/>
  <c r="AH25" i="7"/>
  <c r="AB25" i="7" s="1"/>
  <c r="AH26" i="7"/>
  <c r="AB26" i="7" s="1"/>
  <c r="AI27" i="7"/>
  <c r="AC27" i="7" s="1"/>
  <c r="AJ32" i="7"/>
  <c r="AK33" i="7"/>
  <c r="AM31" i="7"/>
  <c r="AG31" i="7" s="1"/>
  <c r="AD25" i="7"/>
  <c r="AE26" i="7"/>
  <c r="AD26" i="7"/>
  <c r="AD30" i="7"/>
  <c r="AD34" i="7"/>
  <c r="AE27" i="7"/>
  <c r="AE31" i="7"/>
  <c r="AE35" i="7"/>
  <c r="AH28" i="7"/>
  <c r="AB28" i="7" s="1"/>
  <c r="AJ30" i="7"/>
  <c r="AL32" i="7"/>
  <c r="AF32" i="7" s="1"/>
  <c r="AI26" i="7"/>
  <c r="AC26" i="7" s="1"/>
  <c r="AI34" i="7"/>
  <c r="AC34" i="7" s="1"/>
  <c r="AJ27" i="7"/>
  <c r="AJ31" i="7"/>
  <c r="AJ35" i="7"/>
  <c r="AK28" i="7"/>
  <c r="AK32" i="7"/>
  <c r="AL25" i="7"/>
  <c r="AF25" i="7" s="1"/>
  <c r="AL29" i="7"/>
  <c r="AF29" i="7" s="1"/>
  <c r="AL33" i="7"/>
  <c r="AF33" i="7" s="1"/>
  <c r="AM26" i="7"/>
  <c r="AG26" i="7" s="1"/>
  <c r="AM30" i="7"/>
  <c r="AG30" i="7" s="1"/>
  <c r="AM34" i="7"/>
  <c r="AG34" i="7" s="1"/>
  <c r="AD28" i="7"/>
  <c r="AD32" i="7"/>
  <c r="AE25" i="7"/>
  <c r="AE29" i="7"/>
  <c r="AE33" i="7"/>
  <c r="AI25" i="7"/>
  <c r="AC25" i="7" s="1"/>
  <c r="AJ26" i="7"/>
  <c r="AK31" i="7"/>
  <c r="AM29" i="7"/>
  <c r="AG29" i="7" s="1"/>
  <c r="AD31" i="7"/>
  <c r="AE32" i="7"/>
  <c r="AH33" i="7"/>
  <c r="AB33" i="7" s="1"/>
  <c r="AI35" i="7"/>
  <c r="AC35" i="7" s="1"/>
  <c r="AM35" i="7"/>
  <c r="AG35" i="7" s="1"/>
  <c r="C24" i="7"/>
  <c r="C23" i="7" s="1"/>
  <c r="G18" i="7"/>
  <c r="G17" i="7" s="1"/>
  <c r="G12" i="7"/>
  <c r="G11" i="7" s="1"/>
  <c r="T6" i="1"/>
  <c r="T9" i="1" s="1"/>
  <c r="T5" i="1"/>
  <c r="T7" i="1" l="1"/>
  <c r="T11" i="1" s="1"/>
  <c r="C11" i="7"/>
  <c r="P17" i="1"/>
  <c r="P14" i="1"/>
  <c r="P5" i="1"/>
  <c r="E29" i="6"/>
  <c r="E28" i="6"/>
  <c r="E27" i="6"/>
  <c r="E30" i="6"/>
  <c r="E26" i="6"/>
  <c r="T17" i="1" l="1"/>
  <c r="P8" i="1"/>
  <c r="D15" i="6"/>
  <c r="D27" i="6"/>
  <c r="D21" i="6"/>
  <c r="D29" i="6"/>
  <c r="D26" i="6"/>
  <c r="D11" i="6"/>
  <c r="D12" i="6"/>
  <c r="D14" i="6"/>
  <c r="F14" i="6" s="1"/>
  <c r="D17" i="6"/>
  <c r="F17" i="6" s="1"/>
  <c r="G21" i="6"/>
  <c r="D10" i="6"/>
  <c r="D19" i="6"/>
  <c r="D22" i="6"/>
  <c r="D18" i="6"/>
  <c r="F18" i="6" s="1"/>
  <c r="D28" i="6"/>
  <c r="G15" i="6"/>
  <c r="F15" i="6"/>
  <c r="F28" i="6"/>
  <c r="G27" i="6"/>
  <c r="D16" i="6"/>
  <c r="F12" i="6"/>
  <c r="D30" i="6"/>
  <c r="G29" i="6"/>
  <c r="G12" i="6"/>
  <c r="G16" i="6"/>
  <c r="D13" i="6"/>
  <c r="D25" i="6"/>
  <c r="D20" i="6"/>
  <c r="D24" i="6"/>
  <c r="G24" i="6"/>
  <c r="G25" i="6"/>
  <c r="D23" i="6"/>
  <c r="G26" i="6"/>
  <c r="F22" i="6"/>
  <c r="G23" i="6"/>
  <c r="F23" i="6"/>
  <c r="F11" i="6"/>
  <c r="E21" i="6"/>
  <c r="F26" i="6"/>
  <c r="F29" i="6"/>
  <c r="G13" i="6"/>
  <c r="F27" i="6"/>
  <c r="G14" i="6"/>
  <c r="G18" i="6"/>
  <c r="F20" i="6"/>
  <c r="E18" i="6"/>
  <c r="G11" i="6"/>
  <c r="E24" i="6"/>
  <c r="E25" i="6"/>
  <c r="G19" i="6"/>
  <c r="E19" i="6" s="1"/>
  <c r="G10" i="6"/>
  <c r="F25" i="6"/>
  <c r="F16" i="6"/>
  <c r="F21" i="6"/>
  <c r="G17" i="6"/>
  <c r="E17" i="6" s="1"/>
  <c r="F13" i="6"/>
  <c r="G28" i="6"/>
  <c r="G22" i="6"/>
  <c r="E10" i="6"/>
  <c r="E22" i="6"/>
  <c r="F10" i="6"/>
  <c r="E13" i="6"/>
  <c r="E23" i="6"/>
  <c r="G20" i="6"/>
  <c r="E20" i="6" s="1"/>
  <c r="E12" i="6"/>
  <c r="E15" i="6"/>
  <c r="F30" i="6"/>
  <c r="G30" i="6"/>
  <c r="E16" i="6"/>
  <c r="F19" i="6"/>
  <c r="E11" i="6"/>
  <c r="F24" i="6"/>
  <c r="E1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Franco:</t>
        </r>
        <r>
          <rPr>
            <sz val="9"/>
            <color indexed="81"/>
            <rFont val="Tahoma"/>
            <family val="2"/>
          </rPr>
          <t xml:space="preserve">
Pitzer  Accentric  Factor:    This  factor  (symbol ω),  is  a  parameter  used  in non-ideal equations of state that takes into account the geometry and polarity of a molecule</t>
        </r>
      </text>
    </comment>
  </commentList>
</comments>
</file>

<file path=xl/sharedStrings.xml><?xml version="1.0" encoding="utf-8"?>
<sst xmlns="http://schemas.openxmlformats.org/spreadsheetml/2006/main" count="340" uniqueCount="127">
  <si>
    <t>Component</t>
  </si>
  <si>
    <t>Formula</t>
  </si>
  <si>
    <t>CARBON DIOXIDE</t>
  </si>
  <si>
    <t>HYDROGEN SULFIDE</t>
  </si>
  <si>
    <t>NITROGEN</t>
  </si>
  <si>
    <t>METHANE</t>
  </si>
  <si>
    <r>
      <t>CH</t>
    </r>
    <r>
      <rPr>
        <vertAlign val="subscript"/>
        <sz val="9"/>
        <color theme="1"/>
        <rFont val="Calibri"/>
        <family val="2"/>
      </rPr>
      <t>4</t>
    </r>
  </si>
  <si>
    <t>ETHANE</t>
  </si>
  <si>
    <r>
      <t>C</t>
    </r>
    <r>
      <rPr>
        <vertAlign val="subscript"/>
        <sz val="9"/>
        <color theme="1"/>
        <rFont val="Calibri"/>
        <family val="2"/>
      </rPr>
      <t>2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6</t>
    </r>
  </si>
  <si>
    <t>PROPANE</t>
  </si>
  <si>
    <r>
      <t>C</t>
    </r>
    <r>
      <rPr>
        <vertAlign val="subscript"/>
        <sz val="9"/>
        <color theme="1"/>
        <rFont val="Calibri"/>
        <family val="2"/>
      </rPr>
      <t>3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8</t>
    </r>
  </si>
  <si>
    <t>N-BUTANE</t>
  </si>
  <si>
    <r>
      <t>C</t>
    </r>
    <r>
      <rPr>
        <vertAlign val="subscript"/>
        <sz val="9"/>
        <color theme="1"/>
        <rFont val="Calibri"/>
        <family val="2"/>
      </rPr>
      <t>4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10</t>
    </r>
  </si>
  <si>
    <t>ISOBUTANE</t>
  </si>
  <si>
    <t>N-PENTANE</t>
  </si>
  <si>
    <r>
      <t>C</t>
    </r>
    <r>
      <rPr>
        <vertAlign val="subscript"/>
        <sz val="9"/>
        <color theme="1"/>
        <rFont val="Calibri"/>
        <family val="2"/>
      </rPr>
      <t>5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12</t>
    </r>
  </si>
  <si>
    <t>ISOPENTANE</t>
  </si>
  <si>
    <t>N-HEXANE</t>
  </si>
  <si>
    <r>
      <t>C</t>
    </r>
    <r>
      <rPr>
        <vertAlign val="subscript"/>
        <sz val="9"/>
        <color theme="1"/>
        <rFont val="Calibri"/>
        <family val="2"/>
      </rPr>
      <t>6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14</t>
    </r>
  </si>
  <si>
    <t>N-HEPTANE</t>
  </si>
  <si>
    <r>
      <t>C</t>
    </r>
    <r>
      <rPr>
        <vertAlign val="subscript"/>
        <sz val="9"/>
        <color theme="1"/>
        <rFont val="Calibri"/>
        <family val="2"/>
      </rPr>
      <t>7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16</t>
    </r>
  </si>
  <si>
    <t>N-OCTANE</t>
  </si>
  <si>
    <r>
      <t>C</t>
    </r>
    <r>
      <rPr>
        <vertAlign val="subscript"/>
        <sz val="9"/>
        <color theme="1"/>
        <rFont val="Calibri"/>
        <family val="2"/>
      </rPr>
      <t>8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18</t>
    </r>
  </si>
  <si>
    <t>N-NONANE</t>
  </si>
  <si>
    <r>
      <t>C</t>
    </r>
    <r>
      <rPr>
        <vertAlign val="subscript"/>
        <sz val="9"/>
        <color theme="1"/>
        <rFont val="Calibri"/>
        <family val="2"/>
      </rPr>
      <t>9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20</t>
    </r>
  </si>
  <si>
    <t>N-DECANE</t>
  </si>
  <si>
    <r>
      <t>C</t>
    </r>
    <r>
      <rPr>
        <vertAlign val="subscript"/>
        <sz val="9"/>
        <color theme="1"/>
        <rFont val="Calibri"/>
        <family val="2"/>
      </rPr>
      <t>10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22</t>
    </r>
  </si>
  <si>
    <t>MW</t>
  </si>
  <si>
    <t>Tc</t>
  </si>
  <si>
    <t>Pc</t>
  </si>
  <si>
    <t>ºF</t>
  </si>
  <si>
    <t>psi</t>
  </si>
  <si>
    <t>w</t>
  </si>
  <si>
    <t>Composition</t>
  </si>
  <si>
    <t>%</t>
  </si>
  <si>
    <r>
      <t>CO</t>
    </r>
    <r>
      <rPr>
        <vertAlign val="subscript"/>
        <sz val="9"/>
        <color rgb="FF0000FF"/>
        <rFont val="Calibri"/>
        <family val="2"/>
      </rPr>
      <t>2</t>
    </r>
  </si>
  <si>
    <r>
      <t>H</t>
    </r>
    <r>
      <rPr>
        <vertAlign val="subscript"/>
        <sz val="9"/>
        <color rgb="FF0000FF"/>
        <rFont val="Calibri"/>
        <family val="2"/>
      </rPr>
      <t>2</t>
    </r>
    <r>
      <rPr>
        <sz val="9"/>
        <color rgb="FF0000FF"/>
        <rFont val="Calibri"/>
        <family val="2"/>
      </rPr>
      <t>S</t>
    </r>
  </si>
  <si>
    <r>
      <t>N</t>
    </r>
    <r>
      <rPr>
        <vertAlign val="subscript"/>
        <sz val="9"/>
        <color rgb="FF0000FF"/>
        <rFont val="Calibri"/>
        <family val="2"/>
      </rPr>
      <t>2</t>
    </r>
  </si>
  <si>
    <t>y</t>
  </si>
  <si>
    <t>Pseudo Properties</t>
  </si>
  <si>
    <t>Temperature</t>
  </si>
  <si>
    <t>Pressure Min</t>
  </si>
  <si>
    <t>Pressure Max</t>
  </si>
  <si>
    <t>Pressure</t>
  </si>
  <si>
    <t>Press Increment</t>
  </si>
  <si>
    <t>EOS - Peng-Robinson (1976)</t>
  </si>
  <si>
    <t>Gas</t>
  </si>
  <si>
    <t>Cubic Equation Coefficients</t>
  </si>
  <si>
    <t>Real Roots</t>
  </si>
  <si>
    <t>Bg</t>
  </si>
  <si>
    <t>Density</t>
  </si>
  <si>
    <t>Viscosity</t>
  </si>
  <si>
    <t>k</t>
  </si>
  <si>
    <t>a</t>
  </si>
  <si>
    <t>b</t>
  </si>
  <si>
    <t>A</t>
  </si>
  <si>
    <t>B</t>
  </si>
  <si>
    <t>x</t>
  </si>
  <si>
    <t>s</t>
  </si>
  <si>
    <t>Z</t>
  </si>
  <si>
    <t>bbl/scf</t>
  </si>
  <si>
    <t>cf/scf</t>
  </si>
  <si>
    <t>lbm/ft3</t>
  </si>
  <si>
    <t>cp</t>
  </si>
  <si>
    <t>Tpc</t>
  </si>
  <si>
    <t>Carbon Dioxide</t>
  </si>
  <si>
    <t>decimal</t>
  </si>
  <si>
    <t>Hydrogen Sulfide</t>
  </si>
  <si>
    <t>ºR</t>
  </si>
  <si>
    <t>Adjustment for Nonhydrocarbon</t>
  </si>
  <si>
    <t>Wichert &amp; Aziz Correlation</t>
  </si>
  <si>
    <t>Temp</t>
  </si>
  <si>
    <t>Factor z</t>
  </si>
  <si>
    <t>Gas Vis</t>
  </si>
  <si>
    <t>Gas FVF</t>
  </si>
  <si>
    <t>Gas Den</t>
  </si>
  <si>
    <t>ft/scf</t>
  </si>
  <si>
    <r>
      <t>lb/ft</t>
    </r>
    <r>
      <rPr>
        <vertAlign val="superscript"/>
        <sz val="9"/>
        <color theme="0" tint="-0.499984740745262"/>
        <rFont val="Calibri"/>
        <family val="2"/>
        <scheme val="minor"/>
      </rPr>
      <t>3</t>
    </r>
  </si>
  <si>
    <t>Pseudo-Crital Properties from Gas Composition</t>
  </si>
  <si>
    <t>Standing</t>
  </si>
  <si>
    <t>Sutton</t>
  </si>
  <si>
    <t>Ahmed</t>
  </si>
  <si>
    <t>Piper et al.</t>
  </si>
  <si>
    <t>Elsharkawy et al.</t>
  </si>
  <si>
    <t>Gua Ghalambor</t>
  </si>
  <si>
    <r>
      <t>P</t>
    </r>
    <r>
      <rPr>
        <vertAlign val="subscript"/>
        <sz val="9"/>
        <color theme="1"/>
        <rFont val="Calibri"/>
        <family val="2"/>
        <scheme val="minor"/>
      </rPr>
      <t>pc</t>
    </r>
  </si>
  <si>
    <r>
      <t>T</t>
    </r>
    <r>
      <rPr>
        <vertAlign val="subscript"/>
        <sz val="9"/>
        <color theme="1"/>
        <rFont val="Calibri"/>
        <family val="2"/>
        <scheme val="minor"/>
      </rPr>
      <t>pc</t>
    </r>
  </si>
  <si>
    <t>SG</t>
  </si>
  <si>
    <t>Pseudo-Critical Pressure</t>
  </si>
  <si>
    <t>(1)</t>
  </si>
  <si>
    <t>(2)</t>
  </si>
  <si>
    <t>(3)</t>
  </si>
  <si>
    <t>(4)</t>
  </si>
  <si>
    <t>(5)</t>
  </si>
  <si>
    <t>(6)</t>
  </si>
  <si>
    <t>Pseudo-Critical Temperature</t>
  </si>
  <si>
    <t>e</t>
  </si>
  <si>
    <r>
      <t>P'</t>
    </r>
    <r>
      <rPr>
        <vertAlign val="subscript"/>
        <sz val="9"/>
        <color theme="1"/>
        <rFont val="Calibri"/>
        <family val="2"/>
        <scheme val="minor"/>
      </rPr>
      <t>pc</t>
    </r>
  </si>
  <si>
    <r>
      <t>T'</t>
    </r>
    <r>
      <rPr>
        <vertAlign val="subscript"/>
        <sz val="9"/>
        <color theme="1"/>
        <rFont val="Calibri"/>
        <family val="2"/>
        <scheme val="minor"/>
      </rPr>
      <t>pc</t>
    </r>
  </si>
  <si>
    <t>Adjustment for Nonhydrocarbon - Wichert &amp; Aziz Correlation</t>
  </si>
  <si>
    <t>From</t>
  </si>
  <si>
    <t>Ppr</t>
  </si>
  <si>
    <t>to</t>
  </si>
  <si>
    <t>No. of Steps</t>
  </si>
  <si>
    <t xml:space="preserve">Temp.: </t>
  </si>
  <si>
    <t xml:space="preserve">Tpr: </t>
  </si>
  <si>
    <t>Z Factor</t>
  </si>
  <si>
    <t>lbm/cf</t>
  </si>
  <si>
    <t>Max</t>
  </si>
  <si>
    <t>Min</t>
  </si>
  <si>
    <t>Standing (Gas-Condensate System)</t>
  </si>
  <si>
    <t>Standing (Natural Gas System)</t>
  </si>
  <si>
    <t>(4) Tpc - Natural Gas</t>
  </si>
  <si>
    <t>(3) Tpc - Gas-Condensate</t>
  </si>
  <si>
    <t>(2) Ppc - Natural Gas</t>
  </si>
  <si>
    <t>(1) Ppc - Gas-Condensate</t>
  </si>
  <si>
    <t>Presión Pseudo-Crítica</t>
  </si>
  <si>
    <t>Gas-Cond.</t>
  </si>
  <si>
    <t>Temperatura Pseudo-Crítica</t>
  </si>
  <si>
    <t>t</t>
  </si>
  <si>
    <t>1/Tpr</t>
  </si>
  <si>
    <t>C</t>
  </si>
  <si>
    <t>D</t>
  </si>
  <si>
    <t>E</t>
  </si>
  <si>
    <t>f(y)</t>
  </si>
  <si>
    <t>z</t>
  </si>
  <si>
    <t>Hall &amp; Yarborough (1974)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</si>
</sst>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"/>
    <numFmt numFmtId="166" formatCode="0.0000"/>
    <numFmt numFmtId="167" formatCode="0.00000"/>
    <numFmt numFmtId="168" formatCode="0.0;0;0"/>
    <numFmt numFmtId="169" formatCode="0.0000;0;0"/>
    <numFmt numFmtId="170" formatCode="0.000000"/>
    <numFmt numFmtId="171" formatCode="0.000"/>
    <numFmt numFmtId="172" formatCode="0.00;0;0"/>
    <numFmt numFmtId="173" formatCode="0.0000000"/>
    <numFmt numFmtId="174" formatCode="0.0000;\-0.0;&quot;--&quot;"/>
    <numFmt numFmtId="175" formatCode="0.00000000000000000"/>
  </numFmts>
  <fonts count="30" x14ac:knownFonts="1"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8"/>
      <name val="Arial"/>
      <family val="2"/>
    </font>
    <font>
      <sz val="9"/>
      <color theme="1"/>
      <name val="Calibri"/>
      <family val="2"/>
    </font>
    <font>
      <vertAlign val="subscript"/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color theme="1"/>
      <name val="Arial"/>
      <family val="2"/>
    </font>
    <font>
      <sz val="9"/>
      <color rgb="FF0000FF"/>
      <name val="Calibri"/>
      <family val="2"/>
    </font>
    <font>
      <vertAlign val="subscript"/>
      <sz val="9"/>
      <color rgb="FF0000FF"/>
      <name val="Calibri"/>
      <family val="2"/>
    </font>
    <font>
      <sz val="14"/>
      <color theme="1"/>
      <name val="Symbol"/>
      <family val="1"/>
      <charset val="2"/>
    </font>
    <font>
      <b/>
      <sz val="9"/>
      <color theme="1"/>
      <name val="Times New Roman"/>
      <family val="1"/>
    </font>
    <font>
      <b/>
      <sz val="9"/>
      <color rgb="FF0000FF"/>
      <name val="Calibri"/>
      <family val="2"/>
    </font>
    <font>
      <b/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DDEBF7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theme="1"/>
      <name val="Symbol"/>
      <family val="1"/>
      <charset val="2"/>
    </font>
    <font>
      <sz val="9"/>
      <color theme="0" tint="-0.499984740745262"/>
      <name val="Calibri"/>
      <family val="2"/>
      <scheme val="minor"/>
    </font>
    <font>
      <vertAlign val="superscript"/>
      <sz val="9"/>
      <color theme="0" tint="-0.499984740745262"/>
      <name val="Calibri"/>
      <family val="2"/>
      <scheme val="minor"/>
    </font>
    <font>
      <b/>
      <sz val="9"/>
      <color theme="1"/>
      <name val="Arial"/>
      <family val="2"/>
    </font>
    <font>
      <b/>
      <sz val="10"/>
      <color rgb="FF0000FF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b/>
      <sz val="10"/>
      <color rgb="FF0000FF"/>
      <name val="Calibri"/>
      <family val="2"/>
    </font>
    <font>
      <sz val="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164" fontId="29" fillId="0" borderId="0" applyFont="0" applyFill="0" applyBorder="0" applyAlignment="0" applyProtection="0"/>
  </cellStyleXfs>
  <cellXfs count="328">
    <xf numFmtId="0" fontId="0" fillId="0" borderId="0" xfId="0"/>
    <xf numFmtId="0" fontId="6" fillId="0" borderId="0" xfId="0" applyFont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10" fillId="0" borderId="1" xfId="0" applyFont="1" applyBorder="1"/>
    <xf numFmtId="0" fontId="10" fillId="0" borderId="2" xfId="0" applyFont="1" applyBorder="1"/>
    <xf numFmtId="0" fontId="10" fillId="0" borderId="5" xfId="0" applyFont="1" applyBorder="1"/>
    <xf numFmtId="0" fontId="10" fillId="0" borderId="0" xfId="0" applyFont="1"/>
    <xf numFmtId="0" fontId="10" fillId="0" borderId="12" xfId="0" applyFont="1" applyBorder="1"/>
    <xf numFmtId="0" fontId="10" fillId="0" borderId="13" xfId="0" applyFont="1" applyBorder="1"/>
    <xf numFmtId="0" fontId="6" fillId="0" borderId="0" xfId="0" applyFont="1" applyAlignment="1">
      <alignment horizontal="right" indent="1"/>
    </xf>
    <xf numFmtId="0" fontId="8" fillId="2" borderId="2" xfId="0" applyFont="1" applyFill="1" applyBorder="1" applyAlignment="1">
      <alignment horizontal="right" indent="1"/>
    </xf>
    <xf numFmtId="0" fontId="6" fillId="2" borderId="4" xfId="0" applyFont="1" applyFill="1" applyBorder="1" applyAlignment="1">
      <alignment horizontal="right" indent="1"/>
    </xf>
    <xf numFmtId="0" fontId="9" fillId="2" borderId="4" xfId="0" applyFont="1" applyFill="1" applyBorder="1" applyAlignment="1">
      <alignment horizontal="right" indent="1"/>
    </xf>
    <xf numFmtId="0" fontId="10" fillId="0" borderId="2" xfId="0" applyFont="1" applyBorder="1" applyAlignment="1">
      <alignment horizontal="right" indent="1"/>
    </xf>
    <xf numFmtId="0" fontId="10" fillId="0" borderId="0" xfId="0" applyFont="1" applyAlignment="1">
      <alignment horizontal="right" indent="1"/>
    </xf>
    <xf numFmtId="0" fontId="10" fillId="0" borderId="13" xfId="0" applyFont="1" applyBorder="1" applyAlignment="1">
      <alignment horizontal="right" indent="1"/>
    </xf>
    <xf numFmtId="0" fontId="6" fillId="0" borderId="4" xfId="0" applyFont="1" applyBorder="1" applyAlignment="1">
      <alignment horizontal="right" indent="1"/>
    </xf>
    <xf numFmtId="0" fontId="8" fillId="2" borderId="0" xfId="0" applyFont="1" applyFill="1" applyAlignment="1">
      <alignment horizontal="right" indent="1"/>
    </xf>
    <xf numFmtId="0" fontId="13" fillId="2" borderId="0" xfId="0" applyFont="1" applyFill="1" applyAlignment="1">
      <alignment horizontal="right" indent="1"/>
    </xf>
    <xf numFmtId="2" fontId="6" fillId="0" borderId="0" xfId="0" applyNumberFormat="1" applyFont="1"/>
    <xf numFmtId="0" fontId="6" fillId="3" borderId="1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6" fillId="3" borderId="5" xfId="0" applyFont="1" applyFill="1" applyBorder="1"/>
    <xf numFmtId="0" fontId="6" fillId="3" borderId="7" xfId="0" applyFont="1" applyFill="1" applyBorder="1"/>
    <xf numFmtId="0" fontId="6" fillId="3" borderId="11" xfId="0" applyFont="1" applyFill="1" applyBorder="1"/>
    <xf numFmtId="166" fontId="6" fillId="0" borderId="11" xfId="0" applyNumberFormat="1" applyFont="1" applyBorder="1" applyAlignment="1">
      <alignment horizontal="right" indent="1"/>
    </xf>
    <xf numFmtId="166" fontId="6" fillId="0" borderId="10" xfId="0" applyNumberFormat="1" applyFont="1" applyBorder="1" applyAlignment="1">
      <alignment horizontal="right" indent="1"/>
    </xf>
    <xf numFmtId="166" fontId="10" fillId="0" borderId="9" xfId="0" applyNumberFormat="1" applyFont="1" applyBorder="1" applyAlignment="1">
      <alignment horizontal="right" indent="1"/>
    </xf>
    <xf numFmtId="166" fontId="10" fillId="0" borderId="11" xfId="0" applyNumberFormat="1" applyFont="1" applyBorder="1" applyAlignment="1">
      <alignment horizontal="right" indent="1"/>
    </xf>
    <xf numFmtId="166" fontId="10" fillId="0" borderId="14" xfId="0" applyNumberFormat="1" applyFont="1" applyBorder="1" applyAlignment="1">
      <alignment horizontal="right" indent="1"/>
    </xf>
    <xf numFmtId="0" fontId="6" fillId="2" borderId="1" xfId="0" applyFont="1" applyFill="1" applyBorder="1"/>
    <xf numFmtId="0" fontId="6" fillId="2" borderId="9" xfId="0" applyFont="1" applyFill="1" applyBorder="1"/>
    <xf numFmtId="0" fontId="6" fillId="2" borderId="5" xfId="0" applyFont="1" applyFill="1" applyBorder="1"/>
    <xf numFmtId="0" fontId="6" fillId="2" borderId="11" xfId="0" applyFont="1" applyFill="1" applyBorder="1"/>
    <xf numFmtId="0" fontId="6" fillId="2" borderId="3" xfId="0" applyFont="1" applyFill="1" applyBorder="1"/>
    <xf numFmtId="0" fontId="6" fillId="2" borderId="10" xfId="0" applyFont="1" applyFill="1" applyBorder="1"/>
    <xf numFmtId="0" fontId="0" fillId="2" borderId="11" xfId="0" applyFill="1" applyBorder="1"/>
    <xf numFmtId="0" fontId="18" fillId="0" borderId="0" xfId="0" applyFont="1"/>
    <xf numFmtId="0" fontId="6" fillId="6" borderId="22" xfId="0" applyFont="1" applyFill="1" applyBorder="1"/>
    <xf numFmtId="2" fontId="8" fillId="6" borderId="23" xfId="0" applyNumberFormat="1" applyFont="1" applyFill="1" applyBorder="1" applyAlignment="1">
      <alignment horizontal="right" vertical="center" indent="1"/>
    </xf>
    <xf numFmtId="0" fontId="19" fillId="0" borderId="0" xfId="0" applyFont="1"/>
    <xf numFmtId="169" fontId="19" fillId="0" borderId="0" xfId="0" applyNumberFormat="1" applyFont="1"/>
    <xf numFmtId="0" fontId="19" fillId="0" borderId="0" xfId="0" applyFont="1" applyAlignment="1">
      <alignment horizontal="right" indent="1"/>
    </xf>
    <xf numFmtId="0" fontId="19" fillId="2" borderId="1" xfId="0" applyFont="1" applyFill="1" applyBorder="1" applyAlignment="1">
      <alignment horizontal="left" indent="1"/>
    </xf>
    <xf numFmtId="165" fontId="19" fillId="2" borderId="2" xfId="0" applyNumberFormat="1" applyFont="1" applyFill="1" applyBorder="1"/>
    <xf numFmtId="0" fontId="19" fillId="2" borderId="9" xfId="0" applyFont="1" applyFill="1" applyBorder="1"/>
    <xf numFmtId="0" fontId="19" fillId="2" borderId="5" xfId="0" applyFont="1" applyFill="1" applyBorder="1" applyAlignment="1">
      <alignment horizontal="left" indent="1"/>
    </xf>
    <xf numFmtId="165" fontId="19" fillId="2" borderId="0" xfId="0" applyNumberFormat="1" applyFont="1" applyFill="1"/>
    <xf numFmtId="0" fontId="19" fillId="2" borderId="11" xfId="0" applyFont="1" applyFill="1" applyBorder="1"/>
    <xf numFmtId="0" fontId="19" fillId="2" borderId="3" xfId="0" applyFont="1" applyFill="1" applyBorder="1" applyAlignment="1">
      <alignment horizontal="left" indent="1"/>
    </xf>
    <xf numFmtId="165" fontId="19" fillId="2" borderId="4" xfId="0" applyNumberFormat="1" applyFont="1" applyFill="1" applyBorder="1"/>
    <xf numFmtId="0" fontId="19" fillId="2" borderId="10" xfId="0" applyFont="1" applyFill="1" applyBorder="1"/>
    <xf numFmtId="0" fontId="19" fillId="5" borderId="22" xfId="0" applyFont="1" applyFill="1" applyBorder="1" applyAlignment="1">
      <alignment horizontal="left" indent="1"/>
    </xf>
    <xf numFmtId="168" fontId="19" fillId="5" borderId="24" xfId="0" applyNumberFormat="1" applyFont="1" applyFill="1" applyBorder="1"/>
    <xf numFmtId="0" fontId="19" fillId="5" borderId="23" xfId="0" applyFont="1" applyFill="1" applyBorder="1"/>
    <xf numFmtId="169" fontId="19" fillId="0" borderId="0" xfId="0" applyNumberFormat="1" applyFont="1" applyAlignment="1">
      <alignment horizontal="right" indent="1"/>
    </xf>
    <xf numFmtId="170" fontId="19" fillId="0" borderId="0" xfId="0" applyNumberFormat="1" applyFont="1" applyAlignment="1">
      <alignment horizontal="right" indent="1"/>
    </xf>
    <xf numFmtId="167" fontId="19" fillId="0" borderId="0" xfId="0" applyNumberFormat="1" applyFont="1" applyAlignment="1">
      <alignment horizontal="right" indent="1"/>
    </xf>
    <xf numFmtId="2" fontId="19" fillId="0" borderId="0" xfId="0" applyNumberFormat="1" applyFont="1" applyAlignment="1">
      <alignment horizontal="right" indent="1"/>
    </xf>
    <xf numFmtId="0" fontId="4" fillId="0" borderId="0" xfId="0" applyFont="1"/>
    <xf numFmtId="0" fontId="9" fillId="2" borderId="11" xfId="0" applyFont="1" applyFill="1" applyBorder="1"/>
    <xf numFmtId="0" fontId="6" fillId="7" borderId="29" xfId="0" applyFont="1" applyFill="1" applyBorder="1"/>
    <xf numFmtId="0" fontId="6" fillId="7" borderId="31" xfId="0" applyFont="1" applyFill="1" applyBorder="1"/>
    <xf numFmtId="0" fontId="6" fillId="7" borderId="32" xfId="0" applyFont="1" applyFill="1" applyBorder="1"/>
    <xf numFmtId="0" fontId="6" fillId="7" borderId="34" xfId="0" applyFont="1" applyFill="1" applyBorder="1"/>
    <xf numFmtId="0" fontId="4" fillId="7" borderId="35" xfId="0" applyFont="1" applyFill="1" applyBorder="1"/>
    <xf numFmtId="0" fontId="9" fillId="7" borderId="37" xfId="0" applyFont="1" applyFill="1" applyBorder="1"/>
    <xf numFmtId="171" fontId="6" fillId="7" borderId="30" xfId="0" applyNumberFormat="1" applyFont="1" applyFill="1" applyBorder="1" applyAlignment="1">
      <alignment horizontal="right" vertical="center" indent="1"/>
    </xf>
    <xf numFmtId="171" fontId="6" fillId="7" borderId="33" xfId="0" applyNumberFormat="1" applyFont="1" applyFill="1" applyBorder="1" applyAlignment="1">
      <alignment horizontal="right" vertical="center" indent="1"/>
    </xf>
    <xf numFmtId="171" fontId="6" fillId="7" borderId="36" xfId="0" applyNumberFormat="1" applyFont="1" applyFill="1" applyBorder="1" applyAlignment="1">
      <alignment horizontal="right" vertical="center" indent="1"/>
    </xf>
    <xf numFmtId="0" fontId="19" fillId="0" borderId="0" xfId="0" applyFont="1" applyAlignment="1">
      <alignment horizontal="left" indent="4"/>
    </xf>
    <xf numFmtId="165" fontId="19" fillId="0" borderId="2" xfId="0" applyNumberFormat="1" applyFont="1" applyBorder="1" applyAlignment="1">
      <alignment horizontal="right" indent="1"/>
    </xf>
    <xf numFmtId="0" fontId="20" fillId="5" borderId="1" xfId="0" applyFont="1" applyFill="1" applyBorder="1" applyAlignment="1">
      <alignment horizontal="right" indent="1"/>
    </xf>
    <xf numFmtId="0" fontId="20" fillId="5" borderId="2" xfId="0" applyFont="1" applyFill="1" applyBorder="1" applyAlignment="1">
      <alignment horizontal="right" indent="1"/>
    </xf>
    <xf numFmtId="0" fontId="20" fillId="5" borderId="9" xfId="0" applyFont="1" applyFill="1" applyBorder="1" applyAlignment="1">
      <alignment horizontal="right" indent="1"/>
    </xf>
    <xf numFmtId="0" fontId="23" fillId="5" borderId="3" xfId="0" applyFont="1" applyFill="1" applyBorder="1" applyAlignment="1">
      <alignment horizontal="right" indent="1"/>
    </xf>
    <xf numFmtId="0" fontId="23" fillId="5" borderId="4" xfId="0" applyFont="1" applyFill="1" applyBorder="1" applyAlignment="1">
      <alignment horizontal="right" indent="1"/>
    </xf>
    <xf numFmtId="0" fontId="23" fillId="5" borderId="10" xfId="0" applyFont="1" applyFill="1" applyBorder="1" applyAlignment="1">
      <alignment horizontal="right" indent="1"/>
    </xf>
    <xf numFmtId="165" fontId="19" fillId="0" borderId="1" xfId="0" applyNumberFormat="1" applyFont="1" applyBorder="1" applyAlignment="1">
      <alignment horizontal="right" indent="1"/>
    </xf>
    <xf numFmtId="165" fontId="19" fillId="0" borderId="5" xfId="0" applyNumberFormat="1" applyFont="1" applyBorder="1" applyAlignment="1">
      <alignment horizontal="right" indent="1"/>
    </xf>
    <xf numFmtId="165" fontId="19" fillId="0" borderId="0" xfId="0" applyNumberFormat="1" applyFont="1" applyAlignment="1">
      <alignment horizontal="right" indent="1"/>
    </xf>
    <xf numFmtId="165" fontId="19" fillId="0" borderId="3" xfId="0" applyNumberFormat="1" applyFont="1" applyBorder="1" applyAlignment="1">
      <alignment horizontal="right" indent="1"/>
    </xf>
    <xf numFmtId="165" fontId="19" fillId="0" borderId="4" xfId="0" applyNumberFormat="1" applyFont="1" applyBorder="1" applyAlignment="1">
      <alignment horizontal="right" indent="1"/>
    </xf>
    <xf numFmtId="166" fontId="19" fillId="2" borderId="41" xfId="0" applyNumberFormat="1" applyFont="1" applyFill="1" applyBorder="1" applyAlignment="1">
      <alignment horizontal="right" indent="1"/>
    </xf>
    <xf numFmtId="166" fontId="19" fillId="2" borderId="2" xfId="0" applyNumberFormat="1" applyFont="1" applyFill="1" applyBorder="1" applyAlignment="1">
      <alignment horizontal="right" indent="1"/>
    </xf>
    <xf numFmtId="166" fontId="19" fillId="2" borderId="42" xfId="0" applyNumberFormat="1" applyFont="1" applyFill="1" applyBorder="1" applyAlignment="1">
      <alignment horizontal="right" indent="1"/>
    </xf>
    <xf numFmtId="166" fontId="19" fillId="2" borderId="0" xfId="0" applyNumberFormat="1" applyFont="1" applyFill="1" applyAlignment="1">
      <alignment horizontal="right" indent="1"/>
    </xf>
    <xf numFmtId="166" fontId="19" fillId="2" borderId="43" xfId="0" applyNumberFormat="1" applyFont="1" applyFill="1" applyBorder="1" applyAlignment="1">
      <alignment horizontal="right" indent="1"/>
    </xf>
    <xf numFmtId="166" fontId="19" fillId="2" borderId="4" xfId="0" applyNumberFormat="1" applyFont="1" applyFill="1" applyBorder="1" applyAlignment="1">
      <alignment horizontal="right" indent="1"/>
    </xf>
    <xf numFmtId="171" fontId="19" fillId="2" borderId="9" xfId="0" applyNumberFormat="1" applyFont="1" applyFill="1" applyBorder="1" applyAlignment="1">
      <alignment horizontal="right" indent="1"/>
    </xf>
    <xf numFmtId="171" fontId="19" fillId="2" borderId="11" xfId="0" applyNumberFormat="1" applyFont="1" applyFill="1" applyBorder="1" applyAlignment="1">
      <alignment horizontal="right" indent="1"/>
    </xf>
    <xf numFmtId="171" fontId="19" fillId="2" borderId="10" xfId="0" applyNumberFormat="1" applyFont="1" applyFill="1" applyBorder="1" applyAlignment="1">
      <alignment horizontal="right" indent="1"/>
    </xf>
    <xf numFmtId="0" fontId="19" fillId="2" borderId="6" xfId="0" applyFont="1" applyFill="1" applyBorder="1" applyAlignment="1">
      <alignment horizontal="right" indent="1"/>
    </xf>
    <xf numFmtId="0" fontId="19" fillId="2" borderId="1" xfId="0" applyFont="1" applyFill="1" applyBorder="1"/>
    <xf numFmtId="0" fontId="19" fillId="2" borderId="26" xfId="0" applyFont="1" applyFill="1" applyBorder="1"/>
    <xf numFmtId="0" fontId="20" fillId="2" borderId="7" xfId="0" applyFont="1" applyFill="1" applyBorder="1" applyAlignment="1">
      <alignment horizontal="right" indent="1"/>
    </xf>
    <xf numFmtId="0" fontId="19" fillId="2" borderId="5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20" fillId="2" borderId="8" xfId="0" applyFont="1" applyFill="1" applyBorder="1" applyAlignment="1">
      <alignment horizontal="right" indent="1"/>
    </xf>
    <xf numFmtId="0" fontId="19" fillId="2" borderId="3" xfId="0" applyFont="1" applyFill="1" applyBorder="1"/>
    <xf numFmtId="0" fontId="19" fillId="2" borderId="28" xfId="0" applyFont="1" applyFill="1" applyBorder="1"/>
    <xf numFmtId="0" fontId="19" fillId="5" borderId="1" xfId="0" applyFont="1" applyFill="1" applyBorder="1" applyAlignment="1">
      <alignment horizontal="left" indent="1"/>
    </xf>
    <xf numFmtId="0" fontId="19" fillId="5" borderId="3" xfId="0" applyFont="1" applyFill="1" applyBorder="1" applyAlignment="1">
      <alignment horizontal="right" indent="1"/>
    </xf>
    <xf numFmtId="0" fontId="22" fillId="5" borderId="4" xfId="0" applyFont="1" applyFill="1" applyBorder="1" applyAlignment="1">
      <alignment horizontal="right" indent="1"/>
    </xf>
    <xf numFmtId="0" fontId="19" fillId="5" borderId="4" xfId="0" applyFont="1" applyFill="1" applyBorder="1" applyAlignment="1">
      <alignment horizontal="right" indent="1"/>
    </xf>
    <xf numFmtId="0" fontId="19" fillId="5" borderId="10" xfId="0" applyFont="1" applyFill="1" applyBorder="1" applyAlignment="1">
      <alignment horizontal="right" indent="1"/>
    </xf>
    <xf numFmtId="0" fontId="20" fillId="9" borderId="1" xfId="0" applyFont="1" applyFill="1" applyBorder="1" applyAlignment="1">
      <alignment horizontal="right" indent="1"/>
    </xf>
    <xf numFmtId="0" fontId="20" fillId="9" borderId="9" xfId="0" applyFont="1" applyFill="1" applyBorder="1" applyAlignment="1">
      <alignment horizontal="right" indent="1"/>
    </xf>
    <xf numFmtId="0" fontId="20" fillId="9" borderId="6" xfId="0" applyFont="1" applyFill="1" applyBorder="1" applyAlignment="1">
      <alignment horizontal="right" indent="1"/>
    </xf>
    <xf numFmtId="0" fontId="20" fillId="9" borderId="5" xfId="0" applyFont="1" applyFill="1" applyBorder="1" applyAlignment="1">
      <alignment horizontal="right" indent="1"/>
    </xf>
    <xf numFmtId="0" fontId="20" fillId="9" borderId="11" xfId="0" applyFont="1" applyFill="1" applyBorder="1" applyAlignment="1">
      <alignment horizontal="right" indent="1"/>
    </xf>
    <xf numFmtId="0" fontId="20" fillId="9" borderId="7" xfId="0" applyFont="1" applyFill="1" applyBorder="1" applyAlignment="1">
      <alignment horizontal="right" indent="1"/>
    </xf>
    <xf numFmtId="0" fontId="19" fillId="9" borderId="3" xfId="0" applyFont="1" applyFill="1" applyBorder="1" applyAlignment="1">
      <alignment horizontal="right" indent="1"/>
    </xf>
    <xf numFmtId="0" fontId="19" fillId="9" borderId="10" xfId="0" applyFont="1" applyFill="1" applyBorder="1" applyAlignment="1">
      <alignment horizontal="right" indent="1"/>
    </xf>
    <xf numFmtId="0" fontId="19" fillId="9" borderId="8" xfId="0" applyFont="1" applyFill="1" applyBorder="1" applyAlignment="1">
      <alignment horizontal="right" indent="1"/>
    </xf>
    <xf numFmtId="0" fontId="20" fillId="5" borderId="1" xfId="0" applyFont="1" applyFill="1" applyBorder="1" applyAlignment="1">
      <alignment horizontal="left" indent="1"/>
    </xf>
    <xf numFmtId="0" fontId="14" fillId="0" borderId="0" xfId="0" applyFont="1"/>
    <xf numFmtId="0" fontId="21" fillId="0" borderId="0" xfId="0" applyFont="1"/>
    <xf numFmtId="2" fontId="20" fillId="5" borderId="2" xfId="0" applyNumberFormat="1" applyFont="1" applyFill="1" applyBorder="1" applyAlignment="1">
      <alignment vertical="center"/>
    </xf>
    <xf numFmtId="2" fontId="20" fillId="5" borderId="4" xfId="0" applyNumberFormat="1" applyFont="1" applyFill="1" applyBorder="1" applyAlignment="1">
      <alignment vertical="center"/>
    </xf>
    <xf numFmtId="2" fontId="19" fillId="0" borderId="0" xfId="0" applyNumberFormat="1" applyFont="1"/>
    <xf numFmtId="0" fontId="19" fillId="5" borderId="9" xfId="0" applyFont="1" applyFill="1" applyBorder="1" applyAlignment="1">
      <alignment horizontal="left" indent="1"/>
    </xf>
    <xf numFmtId="0" fontId="2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9" fillId="5" borderId="3" xfId="0" applyFont="1" applyFill="1" applyBorder="1" applyAlignment="1">
      <alignment horizontal="left" indent="1"/>
    </xf>
    <xf numFmtId="0" fontId="9" fillId="5" borderId="10" xfId="0" applyFont="1" applyFill="1" applyBorder="1" applyAlignment="1">
      <alignment horizontal="left" indent="1"/>
    </xf>
    <xf numFmtId="0" fontId="19" fillId="0" borderId="0" xfId="0" applyFont="1" applyAlignment="1">
      <alignment horizontal="left" indent="1"/>
    </xf>
    <xf numFmtId="165" fontId="19" fillId="0" borderId="0" xfId="0" applyNumberFormat="1" applyFont="1"/>
    <xf numFmtId="0" fontId="19" fillId="0" borderId="0" xfId="0" quotePrefix="1" applyFont="1"/>
    <xf numFmtId="0" fontId="20" fillId="0" borderId="22" xfId="0" applyFont="1" applyBorder="1" applyAlignment="1">
      <alignment horizontal="right"/>
    </xf>
    <xf numFmtId="2" fontId="19" fillId="0" borderId="1" xfId="0" applyNumberFormat="1" applyFont="1" applyBorder="1" applyAlignment="1">
      <alignment horizontal="right"/>
    </xf>
    <xf numFmtId="165" fontId="19" fillId="0" borderId="2" xfId="0" applyNumberFormat="1" applyFont="1" applyBorder="1" applyAlignment="1">
      <alignment horizontal="right"/>
    </xf>
    <xf numFmtId="165" fontId="19" fillId="0" borderId="9" xfId="0" applyNumberFormat="1" applyFont="1" applyBorder="1" applyAlignment="1">
      <alignment horizontal="right"/>
    </xf>
    <xf numFmtId="2" fontId="19" fillId="0" borderId="5" xfId="0" applyNumberFormat="1" applyFont="1" applyBorder="1" applyAlignment="1">
      <alignment horizontal="right"/>
    </xf>
    <xf numFmtId="165" fontId="19" fillId="0" borderId="0" xfId="0" applyNumberFormat="1" applyFont="1" applyAlignment="1">
      <alignment horizontal="right"/>
    </xf>
    <xf numFmtId="165" fontId="19" fillId="0" borderId="11" xfId="0" applyNumberFormat="1" applyFont="1" applyBorder="1" applyAlignment="1">
      <alignment horizontal="right"/>
    </xf>
    <xf numFmtId="2" fontId="19" fillId="0" borderId="3" xfId="0" applyNumberFormat="1" applyFont="1" applyBorder="1" applyAlignment="1">
      <alignment horizontal="right"/>
    </xf>
    <xf numFmtId="165" fontId="19" fillId="0" borderId="4" xfId="0" applyNumberFormat="1" applyFont="1" applyBorder="1" applyAlignment="1">
      <alignment horizontal="right"/>
    </xf>
    <xf numFmtId="165" fontId="19" fillId="0" borderId="10" xfId="0" applyNumberFormat="1" applyFont="1" applyBorder="1" applyAlignment="1">
      <alignment horizontal="right"/>
    </xf>
    <xf numFmtId="0" fontId="20" fillId="2" borderId="24" xfId="0" quotePrefix="1" applyFont="1" applyFill="1" applyBorder="1" applyAlignment="1">
      <alignment horizontal="right"/>
    </xf>
    <xf numFmtId="0" fontId="20" fillId="2" borderId="23" xfId="0" quotePrefix="1" applyFont="1" applyFill="1" applyBorder="1" applyAlignment="1">
      <alignment horizontal="right"/>
    </xf>
    <xf numFmtId="0" fontId="20" fillId="2" borderId="22" xfId="0" quotePrefix="1" applyFont="1" applyFill="1" applyBorder="1" applyAlignment="1">
      <alignment horizontal="right"/>
    </xf>
    <xf numFmtId="165" fontId="19" fillId="0" borderId="1" xfId="0" applyNumberFormat="1" applyFont="1" applyBorder="1" applyAlignment="1">
      <alignment horizontal="right"/>
    </xf>
    <xf numFmtId="165" fontId="19" fillId="0" borderId="5" xfId="0" applyNumberFormat="1" applyFont="1" applyBorder="1" applyAlignment="1">
      <alignment horizontal="right"/>
    </xf>
    <xf numFmtId="165" fontId="19" fillId="0" borderId="3" xfId="0" applyNumberFormat="1" applyFont="1" applyBorder="1" applyAlignment="1">
      <alignment horizontal="right"/>
    </xf>
    <xf numFmtId="0" fontId="20" fillId="5" borderId="22" xfId="0" quotePrefix="1" applyFont="1" applyFill="1" applyBorder="1" applyAlignment="1">
      <alignment horizontal="right"/>
    </xf>
    <xf numFmtId="0" fontId="20" fillId="5" borderId="24" xfId="0" quotePrefix="1" applyFont="1" applyFill="1" applyBorder="1" applyAlignment="1">
      <alignment horizontal="right"/>
    </xf>
    <xf numFmtId="0" fontId="20" fillId="5" borderId="23" xfId="0" quotePrefix="1" applyFont="1" applyFill="1" applyBorder="1" applyAlignment="1">
      <alignment horizontal="right"/>
    </xf>
    <xf numFmtId="171" fontId="6" fillId="7" borderId="39" xfId="0" applyNumberFormat="1" applyFont="1" applyFill="1" applyBorder="1" applyAlignment="1">
      <alignment vertical="center"/>
    </xf>
    <xf numFmtId="0" fontId="6" fillId="7" borderId="40" xfId="0" applyFont="1" applyFill="1" applyBorder="1"/>
    <xf numFmtId="0" fontId="3" fillId="7" borderId="38" xfId="0" applyFont="1" applyFill="1" applyBorder="1"/>
    <xf numFmtId="0" fontId="22" fillId="7" borderId="35" xfId="0" applyFont="1" applyFill="1" applyBorder="1"/>
    <xf numFmtId="171" fontId="19" fillId="7" borderId="36" xfId="0" applyNumberFormat="1" applyFont="1" applyFill="1" applyBorder="1" applyAlignment="1">
      <alignment vertical="center"/>
    </xf>
    <xf numFmtId="0" fontId="19" fillId="9" borderId="1" xfId="0" applyFont="1" applyFill="1" applyBorder="1" applyAlignment="1">
      <alignment horizontal="left" indent="1"/>
    </xf>
    <xf numFmtId="2" fontId="20" fillId="9" borderId="2" xfId="0" applyNumberFormat="1" applyFont="1" applyFill="1" applyBorder="1" applyAlignment="1">
      <alignment vertical="center"/>
    </xf>
    <xf numFmtId="0" fontId="9" fillId="9" borderId="9" xfId="0" applyFont="1" applyFill="1" applyBorder="1" applyAlignment="1">
      <alignment horizontal="left" indent="1"/>
    </xf>
    <xf numFmtId="0" fontId="19" fillId="9" borderId="3" xfId="0" applyFont="1" applyFill="1" applyBorder="1" applyAlignment="1">
      <alignment horizontal="left" indent="1"/>
    </xf>
    <xf numFmtId="2" fontId="20" fillId="9" borderId="4" xfId="0" applyNumberFormat="1" applyFont="1" applyFill="1" applyBorder="1" applyAlignment="1">
      <alignment vertical="center"/>
    </xf>
    <xf numFmtId="0" fontId="9" fillId="9" borderId="10" xfId="0" applyFont="1" applyFill="1" applyBorder="1" applyAlignment="1">
      <alignment horizontal="left" indent="1"/>
    </xf>
    <xf numFmtId="0" fontId="10" fillId="3" borderId="1" xfId="0" applyFont="1" applyFill="1" applyBorder="1"/>
    <xf numFmtId="0" fontId="10" fillId="3" borderId="2" xfId="0" applyFont="1" applyFill="1" applyBorder="1"/>
    <xf numFmtId="171" fontId="21" fillId="3" borderId="9" xfId="0" applyNumberFormat="1" applyFont="1" applyFill="1" applyBorder="1" applyAlignment="1">
      <alignment horizontal="right" indent="1"/>
    </xf>
    <xf numFmtId="0" fontId="10" fillId="3" borderId="5" xfId="0" applyFont="1" applyFill="1" applyBorder="1"/>
    <xf numFmtId="0" fontId="10" fillId="3" borderId="0" xfId="0" applyFont="1" applyFill="1"/>
    <xf numFmtId="171" fontId="21" fillId="3" borderId="11" xfId="0" applyNumberFormat="1" applyFont="1" applyFill="1" applyBorder="1" applyAlignment="1">
      <alignment horizontal="right" indent="1"/>
    </xf>
    <xf numFmtId="0" fontId="10" fillId="3" borderId="3" xfId="0" applyFont="1" applyFill="1" applyBorder="1"/>
    <xf numFmtId="0" fontId="10" fillId="3" borderId="4" xfId="0" applyFont="1" applyFill="1" applyBorder="1"/>
    <xf numFmtId="171" fontId="21" fillId="3" borderId="10" xfId="0" applyNumberFormat="1" applyFont="1" applyFill="1" applyBorder="1" applyAlignment="1">
      <alignment horizontal="right" indent="1"/>
    </xf>
    <xf numFmtId="0" fontId="19" fillId="3" borderId="1" xfId="0" applyFont="1" applyFill="1" applyBorder="1"/>
    <xf numFmtId="0" fontId="19" fillId="3" borderId="9" xfId="0" applyFont="1" applyFill="1" applyBorder="1"/>
    <xf numFmtId="0" fontId="19" fillId="3" borderId="5" xfId="0" applyFont="1" applyFill="1" applyBorder="1"/>
    <xf numFmtId="0" fontId="19" fillId="3" borderId="11" xfId="0" applyFont="1" applyFill="1" applyBorder="1"/>
    <xf numFmtId="0" fontId="19" fillId="3" borderId="3" xfId="0" applyFont="1" applyFill="1" applyBorder="1"/>
    <xf numFmtId="0" fontId="19" fillId="3" borderId="10" xfId="0" applyFont="1" applyFill="1" applyBorder="1"/>
    <xf numFmtId="0" fontId="20" fillId="0" borderId="0" xfId="0" applyFont="1" applyAlignment="1">
      <alignment horizontal="left"/>
    </xf>
    <xf numFmtId="0" fontId="21" fillId="0" borderId="22" xfId="0" applyFont="1" applyBorder="1"/>
    <xf numFmtId="0" fontId="19" fillId="0" borderId="24" xfId="0" applyFont="1" applyBorder="1"/>
    <xf numFmtId="0" fontId="19" fillId="0" borderId="23" xfId="0" applyFont="1" applyBorder="1"/>
    <xf numFmtId="0" fontId="0" fillId="7" borderId="37" xfId="0" applyFill="1" applyBorder="1"/>
    <xf numFmtId="0" fontId="0" fillId="0" borderId="1" xfId="0" applyBorder="1"/>
    <xf numFmtId="0" fontId="0" fillId="0" borderId="2" xfId="0" applyBorder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19" fillId="0" borderId="5" xfId="0" applyFont="1" applyBorder="1"/>
    <xf numFmtId="0" fontId="19" fillId="0" borderId="11" xfId="0" applyFont="1" applyBorder="1"/>
    <xf numFmtId="0" fontId="19" fillId="0" borderId="3" xfId="0" applyFont="1" applyBorder="1"/>
    <xf numFmtId="0" fontId="19" fillId="0" borderId="4" xfId="0" applyFont="1" applyBorder="1"/>
    <xf numFmtId="0" fontId="19" fillId="0" borderId="10" xfId="0" applyFont="1" applyBorder="1"/>
    <xf numFmtId="0" fontId="19" fillId="0" borderId="0" xfId="0" applyFont="1" applyAlignment="1">
      <alignment horizontal="right"/>
    </xf>
    <xf numFmtId="0" fontId="19" fillId="0" borderId="22" xfId="0" applyFont="1" applyBorder="1"/>
    <xf numFmtId="0" fontId="0" fillId="0" borderId="0" xfId="0" applyAlignment="1">
      <alignment horizontal="right"/>
    </xf>
    <xf numFmtId="0" fontId="19" fillId="0" borderId="6" xfId="0" applyFont="1" applyBorder="1" applyAlignment="1">
      <alignment horizontal="right"/>
    </xf>
    <xf numFmtId="0" fontId="19" fillId="0" borderId="8" xfId="0" applyFont="1" applyBorder="1" applyAlignment="1">
      <alignment horizontal="right"/>
    </xf>
    <xf numFmtId="172" fontId="19" fillId="0" borderId="0" xfId="0" applyNumberFormat="1" applyFont="1" applyAlignment="1">
      <alignment horizontal="right"/>
    </xf>
    <xf numFmtId="169" fontId="19" fillId="0" borderId="0" xfId="0" applyNumberFormat="1" applyFont="1" applyAlignment="1">
      <alignment horizontal="right"/>
    </xf>
    <xf numFmtId="169" fontId="19" fillId="0" borderId="1" xfId="0" applyNumberFormat="1" applyFont="1" applyBorder="1" applyAlignment="1">
      <alignment horizontal="right"/>
    </xf>
    <xf numFmtId="169" fontId="19" fillId="0" borderId="2" xfId="0" applyNumberFormat="1" applyFont="1" applyBorder="1" applyAlignment="1">
      <alignment horizontal="right"/>
    </xf>
    <xf numFmtId="169" fontId="19" fillId="0" borderId="9" xfId="0" applyNumberFormat="1" applyFont="1" applyBorder="1" applyAlignment="1">
      <alignment horizontal="right"/>
    </xf>
    <xf numFmtId="169" fontId="19" fillId="0" borderId="3" xfId="0" applyNumberFormat="1" applyFont="1" applyBorder="1" applyAlignment="1">
      <alignment horizontal="right"/>
    </xf>
    <xf numFmtId="169" fontId="19" fillId="0" borderId="4" xfId="0" applyNumberFormat="1" applyFont="1" applyBorder="1" applyAlignment="1">
      <alignment horizontal="right"/>
    </xf>
    <xf numFmtId="169" fontId="19" fillId="0" borderId="10" xfId="0" applyNumberFormat="1" applyFont="1" applyBorder="1" applyAlignment="1">
      <alignment horizontal="right"/>
    </xf>
    <xf numFmtId="0" fontId="20" fillId="0" borderId="7" xfId="0" applyFont="1" applyBorder="1" applyAlignment="1">
      <alignment horizontal="right"/>
    </xf>
    <xf numFmtId="169" fontId="20" fillId="0" borderId="1" xfId="0" applyNumberFormat="1" applyFont="1" applyBorder="1" applyAlignment="1">
      <alignment horizontal="right"/>
    </xf>
    <xf numFmtId="169" fontId="20" fillId="0" borderId="2" xfId="0" applyNumberFormat="1" applyFont="1" applyBorder="1" applyAlignment="1">
      <alignment horizontal="right"/>
    </xf>
    <xf numFmtId="169" fontId="20" fillId="0" borderId="9" xfId="0" applyNumberFormat="1" applyFont="1" applyBorder="1" applyAlignment="1">
      <alignment horizontal="right"/>
    </xf>
    <xf numFmtId="0" fontId="20" fillId="0" borderId="0" xfId="0" applyFont="1"/>
    <xf numFmtId="0" fontId="20" fillId="0" borderId="6" xfId="0" applyFont="1" applyBorder="1"/>
    <xf numFmtId="0" fontId="20" fillId="0" borderId="8" xfId="0" applyFont="1" applyBorder="1"/>
    <xf numFmtId="0" fontId="20" fillId="0" borderId="23" xfId="0" applyFont="1" applyBorder="1" applyAlignment="1">
      <alignment horizontal="right"/>
    </xf>
    <xf numFmtId="0" fontId="19" fillId="2" borderId="9" xfId="0" applyFont="1" applyFill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0" fontId="20" fillId="0" borderId="22" xfId="0" applyFont="1" applyBorder="1" applyAlignment="1">
      <alignment horizontal="right" indent="1"/>
    </xf>
    <xf numFmtId="0" fontId="20" fillId="0" borderId="24" xfId="0" applyFont="1" applyBorder="1" applyAlignment="1">
      <alignment horizontal="right" indent="1"/>
    </xf>
    <xf numFmtId="0" fontId="19" fillId="2" borderId="1" xfId="0" applyFont="1" applyFill="1" applyBorder="1" applyAlignment="1">
      <alignment horizontal="right" indent="1"/>
    </xf>
    <xf numFmtId="0" fontId="19" fillId="2" borderId="2" xfId="0" applyFont="1" applyFill="1" applyBorder="1" applyAlignment="1">
      <alignment horizontal="right" indent="1"/>
    </xf>
    <xf numFmtId="0" fontId="19" fillId="2" borderId="3" xfId="0" applyFont="1" applyFill="1" applyBorder="1" applyAlignment="1">
      <alignment horizontal="right" indent="1"/>
    </xf>
    <xf numFmtId="0" fontId="19" fillId="2" borderId="4" xfId="0" applyFont="1" applyFill="1" applyBorder="1" applyAlignment="1">
      <alignment horizontal="right" indent="1"/>
    </xf>
    <xf numFmtId="0" fontId="19" fillId="0" borderId="44" xfId="0" applyFont="1" applyBorder="1"/>
    <xf numFmtId="173" fontId="19" fillId="0" borderId="0" xfId="0" applyNumberFormat="1" applyFont="1" applyAlignment="1">
      <alignment horizontal="right" indent="1"/>
    </xf>
    <xf numFmtId="174" fontId="6" fillId="3" borderId="3" xfId="0" applyNumberFormat="1" applyFont="1" applyFill="1" applyBorder="1"/>
    <xf numFmtId="174" fontId="6" fillId="3" borderId="8" xfId="0" applyNumberFormat="1" applyFont="1" applyFill="1" applyBorder="1"/>
    <xf numFmtId="174" fontId="6" fillId="3" borderId="10" xfId="0" applyNumberFormat="1" applyFont="1" applyFill="1" applyBorder="1"/>
    <xf numFmtId="174" fontId="10" fillId="0" borderId="1" xfId="0" applyNumberFormat="1" applyFont="1" applyBorder="1" applyAlignment="1">
      <alignment horizontal="right" indent="1"/>
    </xf>
    <xf numFmtId="174" fontId="10" fillId="0" borderId="15" xfId="0" applyNumberFormat="1" applyFont="1" applyBorder="1" applyAlignment="1">
      <alignment horizontal="right" indent="1"/>
    </xf>
    <xf numFmtId="174" fontId="10" fillId="0" borderId="19" xfId="0" applyNumberFormat="1" applyFont="1" applyBorder="1" applyAlignment="1">
      <alignment horizontal="right" indent="1"/>
    </xf>
    <xf numFmtId="174" fontId="10" fillId="0" borderId="9" xfId="0" applyNumberFormat="1" applyFont="1" applyBorder="1" applyAlignment="1">
      <alignment horizontal="right" indent="1"/>
    </xf>
    <xf numFmtId="174" fontId="10" fillId="0" borderId="5" xfId="0" applyNumberFormat="1" applyFont="1" applyBorder="1" applyAlignment="1">
      <alignment horizontal="right" indent="1"/>
    </xf>
    <xf numFmtId="174" fontId="10" fillId="0" borderId="16" xfId="0" applyNumberFormat="1" applyFont="1" applyBorder="1" applyAlignment="1">
      <alignment horizontal="right" indent="1"/>
    </xf>
    <xf numFmtId="174" fontId="10" fillId="0" borderId="20" xfId="0" applyNumberFormat="1" applyFont="1" applyBorder="1" applyAlignment="1">
      <alignment horizontal="right" indent="1"/>
    </xf>
    <xf numFmtId="174" fontId="10" fillId="0" borderId="11" xfId="0" applyNumberFormat="1" applyFont="1" applyBorder="1" applyAlignment="1">
      <alignment horizontal="right" indent="1"/>
    </xf>
    <xf numFmtId="174" fontId="10" fillId="0" borderId="12" xfId="0" applyNumberFormat="1" applyFont="1" applyBorder="1" applyAlignment="1">
      <alignment horizontal="right" indent="1"/>
    </xf>
    <xf numFmtId="174" fontId="10" fillId="0" borderId="17" xfId="0" applyNumberFormat="1" applyFont="1" applyBorder="1" applyAlignment="1">
      <alignment horizontal="right" indent="1"/>
    </xf>
    <xf numFmtId="174" fontId="10" fillId="0" borderId="25" xfId="0" applyNumberFormat="1" applyFont="1" applyBorder="1" applyAlignment="1">
      <alignment horizontal="right" indent="1"/>
    </xf>
    <xf numFmtId="174" fontId="10" fillId="0" borderId="14" xfId="0" applyNumberFormat="1" applyFont="1" applyBorder="1" applyAlignment="1">
      <alignment horizontal="right" indent="1"/>
    </xf>
    <xf numFmtId="174" fontId="6" fillId="0" borderId="5" xfId="0" applyNumberFormat="1" applyFont="1" applyBorder="1" applyAlignment="1">
      <alignment horizontal="right" indent="1"/>
    </xf>
    <xf numFmtId="174" fontId="6" fillId="0" borderId="16" xfId="0" applyNumberFormat="1" applyFont="1" applyBorder="1" applyAlignment="1">
      <alignment horizontal="right" indent="1"/>
    </xf>
    <xf numFmtId="174" fontId="6" fillId="0" borderId="20" xfId="0" applyNumberFormat="1" applyFont="1" applyBorder="1" applyAlignment="1">
      <alignment horizontal="right" indent="1"/>
    </xf>
    <xf numFmtId="174" fontId="6" fillId="0" borderId="11" xfId="0" applyNumberFormat="1" applyFont="1" applyBorder="1" applyAlignment="1">
      <alignment horizontal="right" indent="1"/>
    </xf>
    <xf numFmtId="174" fontId="6" fillId="0" borderId="3" xfId="0" applyNumberFormat="1" applyFont="1" applyBorder="1" applyAlignment="1">
      <alignment horizontal="right" indent="1"/>
    </xf>
    <xf numFmtId="174" fontId="6" fillId="0" borderId="18" xfId="0" applyNumberFormat="1" applyFont="1" applyBorder="1" applyAlignment="1">
      <alignment horizontal="right" indent="1"/>
    </xf>
    <xf numFmtId="174" fontId="6" fillId="0" borderId="21" xfId="0" applyNumberFormat="1" applyFont="1" applyBorder="1" applyAlignment="1">
      <alignment horizontal="right" indent="1"/>
    </xf>
    <xf numFmtId="174" fontId="6" fillId="0" borderId="10" xfId="0" applyNumberFormat="1" applyFont="1" applyBorder="1" applyAlignment="1">
      <alignment horizontal="right" indent="1"/>
    </xf>
    <xf numFmtId="2" fontId="10" fillId="0" borderId="2" xfId="0" applyNumberFormat="1" applyFont="1" applyBorder="1" applyAlignment="1">
      <alignment horizontal="right" indent="1"/>
    </xf>
    <xf numFmtId="2" fontId="10" fillId="0" borderId="0" xfId="0" applyNumberFormat="1" applyFont="1" applyAlignment="1">
      <alignment horizontal="right" indent="1"/>
    </xf>
    <xf numFmtId="2" fontId="10" fillId="0" borderId="13" xfId="0" applyNumberFormat="1" applyFont="1" applyBorder="1" applyAlignment="1">
      <alignment horizontal="right" indent="1"/>
    </xf>
    <xf numFmtId="2" fontId="6" fillId="0" borderId="0" xfId="0" applyNumberFormat="1" applyFont="1" applyAlignment="1">
      <alignment horizontal="right" indent="1"/>
    </xf>
    <xf numFmtId="2" fontId="6" fillId="0" borderId="4" xfId="0" applyNumberFormat="1" applyFont="1" applyBorder="1" applyAlignment="1">
      <alignment horizontal="right" indent="1"/>
    </xf>
    <xf numFmtId="175" fontId="19" fillId="0" borderId="0" xfId="0" applyNumberFormat="1" applyFont="1"/>
    <xf numFmtId="2" fontId="28" fillId="4" borderId="15" xfId="0" applyNumberFormat="1" applyFont="1" applyFill="1" applyBorder="1" applyAlignment="1">
      <alignment horizontal="right" indent="1"/>
    </xf>
    <xf numFmtId="2" fontId="28" fillId="4" borderId="16" xfId="0" applyNumberFormat="1" applyFont="1" applyFill="1" applyBorder="1" applyAlignment="1">
      <alignment horizontal="right" indent="1"/>
    </xf>
    <xf numFmtId="2" fontId="28" fillId="4" borderId="17" xfId="0" applyNumberFormat="1" applyFont="1" applyFill="1" applyBorder="1" applyAlignment="1">
      <alignment horizontal="right" indent="1"/>
    </xf>
    <xf numFmtId="2" fontId="15" fillId="4" borderId="16" xfId="0" applyNumberFormat="1" applyFont="1" applyFill="1" applyBorder="1" applyAlignment="1">
      <alignment horizontal="right" indent="1"/>
    </xf>
    <xf numFmtId="2" fontId="15" fillId="4" borderId="18" xfId="0" applyNumberFormat="1" applyFont="1" applyFill="1" applyBorder="1" applyAlignment="1">
      <alignment horizontal="right" indent="1"/>
    </xf>
    <xf numFmtId="0" fontId="19" fillId="0" borderId="1" xfId="0" applyFont="1" applyBorder="1"/>
    <xf numFmtId="0" fontId="19" fillId="0" borderId="2" xfId="0" applyFont="1" applyBorder="1"/>
    <xf numFmtId="0" fontId="19" fillId="0" borderId="9" xfId="0" applyFont="1" applyBorder="1"/>
    <xf numFmtId="2" fontId="19" fillId="0" borderId="1" xfId="0" applyNumberFormat="1" applyFont="1" applyBorder="1"/>
    <xf numFmtId="2" fontId="19" fillId="0" borderId="9" xfId="0" applyNumberFormat="1" applyFont="1" applyBorder="1"/>
    <xf numFmtId="2" fontId="19" fillId="0" borderId="5" xfId="0" applyNumberFormat="1" applyFont="1" applyBorder="1"/>
    <xf numFmtId="2" fontId="19" fillId="0" borderId="11" xfId="0" applyNumberFormat="1" applyFont="1" applyBorder="1"/>
    <xf numFmtId="2" fontId="19" fillId="0" borderId="3" xfId="0" applyNumberFormat="1" applyFont="1" applyBorder="1"/>
    <xf numFmtId="2" fontId="19" fillId="0" borderId="10" xfId="0" applyNumberFormat="1" applyFont="1" applyBorder="1"/>
    <xf numFmtId="0" fontId="20" fillId="0" borderId="23" xfId="0" applyFont="1" applyBorder="1"/>
    <xf numFmtId="0" fontId="20" fillId="0" borderId="22" xfId="0" applyFont="1" applyBorder="1"/>
    <xf numFmtId="0" fontId="20" fillId="0" borderId="0" xfId="0" applyFont="1" applyAlignment="1">
      <alignment horizontal="right"/>
    </xf>
    <xf numFmtId="164" fontId="19" fillId="0" borderId="0" xfId="2" applyFont="1"/>
    <xf numFmtId="0" fontId="1" fillId="0" borderId="0" xfId="0" applyFont="1" applyAlignment="1">
      <alignment horizontal="left"/>
    </xf>
    <xf numFmtId="0" fontId="20" fillId="10" borderId="1" xfId="0" applyFont="1" applyFill="1" applyBorder="1" applyAlignment="1">
      <alignment horizontal="right"/>
    </xf>
    <xf numFmtId="0" fontId="20" fillId="10" borderId="2" xfId="0" applyFont="1" applyFill="1" applyBorder="1" applyAlignment="1">
      <alignment horizontal="right"/>
    </xf>
    <xf numFmtId="0" fontId="20" fillId="10" borderId="9" xfId="0" applyFont="1" applyFill="1" applyBorder="1" applyAlignment="1">
      <alignment horizontal="right"/>
    </xf>
    <xf numFmtId="0" fontId="20" fillId="10" borderId="5" xfId="0" applyFont="1" applyFill="1" applyBorder="1" applyAlignment="1">
      <alignment horizontal="right"/>
    </xf>
    <xf numFmtId="0" fontId="20" fillId="10" borderId="0" xfId="0" applyFont="1" applyFill="1" applyAlignment="1">
      <alignment horizontal="right"/>
    </xf>
    <xf numFmtId="0" fontId="20" fillId="10" borderId="11" xfId="0" applyFont="1" applyFill="1" applyBorder="1" applyAlignment="1">
      <alignment horizontal="right"/>
    </xf>
    <xf numFmtId="0" fontId="20" fillId="10" borderId="3" xfId="0" applyFont="1" applyFill="1" applyBorder="1" applyAlignment="1">
      <alignment horizontal="right"/>
    </xf>
    <xf numFmtId="0" fontId="20" fillId="10" borderId="4" xfId="0" applyFont="1" applyFill="1" applyBorder="1" applyAlignment="1">
      <alignment horizontal="right"/>
    </xf>
    <xf numFmtId="0" fontId="20" fillId="10" borderId="10" xfId="0" applyFont="1" applyFill="1" applyBorder="1" applyAlignment="1">
      <alignment horizontal="right"/>
    </xf>
    <xf numFmtId="2" fontId="15" fillId="2" borderId="2" xfId="0" applyNumberFormat="1" applyFont="1" applyFill="1" applyBorder="1" applyAlignment="1">
      <alignment horizontal="right" vertical="center" indent="1"/>
    </xf>
    <xf numFmtId="2" fontId="15" fillId="2" borderId="0" xfId="0" applyNumberFormat="1" applyFont="1" applyFill="1" applyAlignment="1">
      <alignment horizontal="right" vertical="center" indent="1"/>
    </xf>
    <xf numFmtId="2" fontId="15" fillId="2" borderId="4" xfId="0" applyNumberFormat="1" applyFont="1" applyFill="1" applyBorder="1" applyAlignment="1">
      <alignment horizontal="right" vertical="center" indent="1"/>
    </xf>
    <xf numFmtId="167" fontId="15" fillId="2" borderId="2" xfId="0" applyNumberFormat="1" applyFont="1" applyFill="1" applyBorder="1" applyAlignment="1">
      <alignment horizontal="right" vertical="center" indent="1"/>
    </xf>
    <xf numFmtId="167" fontId="15" fillId="2" borderId="0" xfId="0" applyNumberFormat="1" applyFont="1" applyFill="1" applyAlignment="1">
      <alignment horizontal="right" vertical="center" indent="1"/>
    </xf>
    <xf numFmtId="167" fontId="15" fillId="2" borderId="4" xfId="0" applyNumberFormat="1" applyFont="1" applyFill="1" applyBorder="1" applyAlignment="1">
      <alignment horizontal="right" vertical="center" indent="1"/>
    </xf>
    <xf numFmtId="0" fontId="15" fillId="5" borderId="1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right" vertical="center" indent="1"/>
    </xf>
    <xf numFmtId="0" fontId="12" fillId="2" borderId="11" xfId="0" applyFont="1" applyFill="1" applyBorder="1" applyAlignment="1">
      <alignment horizontal="right" vertical="center" indent="1"/>
    </xf>
    <xf numFmtId="0" fontId="12" fillId="2" borderId="10" xfId="0" applyFont="1" applyFill="1" applyBorder="1" applyAlignment="1">
      <alignment horizontal="right" vertical="center" indent="1"/>
    </xf>
    <xf numFmtId="0" fontId="8" fillId="2" borderId="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166" fontId="15" fillId="2" borderId="2" xfId="0" applyNumberFormat="1" applyFont="1" applyFill="1" applyBorder="1" applyAlignment="1">
      <alignment horizontal="right" vertical="center" indent="1"/>
    </xf>
    <xf numFmtId="0" fontId="15" fillId="2" borderId="0" xfId="0" applyFont="1" applyFill="1" applyAlignment="1">
      <alignment horizontal="right" vertical="center" indent="1"/>
    </xf>
    <xf numFmtId="0" fontId="15" fillId="2" borderId="4" xfId="0" applyFont="1" applyFill="1" applyBorder="1" applyAlignment="1">
      <alignment horizontal="right" vertical="center" indent="1"/>
    </xf>
    <xf numFmtId="0" fontId="6" fillId="7" borderId="40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40" xfId="0" applyFont="1" applyFill="1" applyBorder="1" applyAlignment="1">
      <alignment horizontal="left" vertical="center"/>
    </xf>
    <xf numFmtId="0" fontId="6" fillId="7" borderId="14" xfId="0" applyFont="1" applyFill="1" applyBorder="1" applyAlignment="1">
      <alignment horizontal="left" vertical="center"/>
    </xf>
    <xf numFmtId="0" fontId="6" fillId="7" borderId="38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171" fontId="6" fillId="7" borderId="39" xfId="0" applyNumberFormat="1" applyFont="1" applyFill="1" applyBorder="1" applyAlignment="1">
      <alignment horizontal="right" vertical="center" indent="1"/>
    </xf>
    <xf numFmtId="171" fontId="6" fillId="7" borderId="13" xfId="0" applyNumberFormat="1" applyFont="1" applyFill="1" applyBorder="1" applyAlignment="1">
      <alignment horizontal="right" vertical="center" indent="1"/>
    </xf>
    <xf numFmtId="171" fontId="19" fillId="7" borderId="39" xfId="0" applyNumberFormat="1" applyFont="1" applyFill="1" applyBorder="1" applyAlignment="1">
      <alignment horizontal="right" vertical="center" indent="1"/>
    </xf>
    <xf numFmtId="171" fontId="19" fillId="7" borderId="13" xfId="0" applyNumberFormat="1" applyFont="1" applyFill="1" applyBorder="1" applyAlignment="1">
      <alignment horizontal="right" vertical="center" indent="1"/>
    </xf>
    <xf numFmtId="0" fontId="21" fillId="5" borderId="22" xfId="0" applyFont="1" applyFill="1" applyBorder="1" applyAlignment="1">
      <alignment horizontal="center"/>
    </xf>
    <xf numFmtId="0" fontId="21" fillId="5" borderId="24" xfId="0" applyFont="1" applyFill="1" applyBorder="1" applyAlignment="1">
      <alignment horizontal="center"/>
    </xf>
    <xf numFmtId="0" fontId="21" fillId="5" borderId="23" xfId="0" applyFont="1" applyFill="1" applyBorder="1" applyAlignment="1">
      <alignment horizontal="center"/>
    </xf>
    <xf numFmtId="0" fontId="25" fillId="8" borderId="22" xfId="0" applyFont="1" applyFill="1" applyBorder="1" applyAlignment="1">
      <alignment horizontal="center"/>
    </xf>
    <xf numFmtId="0" fontId="25" fillId="8" borderId="24" xfId="0" applyFont="1" applyFill="1" applyBorder="1" applyAlignment="1">
      <alignment horizontal="center"/>
    </xf>
    <xf numFmtId="0" fontId="25" fillId="8" borderId="23" xfId="0" applyFont="1" applyFill="1" applyBorder="1" applyAlignment="1">
      <alignment horizontal="center"/>
    </xf>
    <xf numFmtId="0" fontId="20" fillId="0" borderId="6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166" fontId="26" fillId="3" borderId="2" xfId="0" applyNumberFormat="1" applyFont="1" applyFill="1" applyBorder="1" applyAlignment="1">
      <alignment horizontal="right" vertical="center" indent="1"/>
    </xf>
    <xf numFmtId="0" fontId="26" fillId="3" borderId="0" xfId="0" applyFont="1" applyFill="1" applyAlignment="1">
      <alignment horizontal="right" vertical="center" indent="1"/>
    </xf>
    <xf numFmtId="0" fontId="26" fillId="3" borderId="4" xfId="0" applyFont="1" applyFill="1" applyBorder="1" applyAlignment="1">
      <alignment horizontal="right" vertical="center" indent="1"/>
    </xf>
  </cellXfs>
  <cellStyles count="3">
    <cellStyle name="Comma" xfId="2" builtinId="3"/>
    <cellStyle name="Normal" xfId="0" builtinId="0"/>
    <cellStyle name="Normal 26" xfId="1" xr:uid="{00000000-0005-0000-0000-000002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181284000399598E-2"/>
          <c:w val="0.84530568430719188"/>
          <c:h val="0.7753433415978712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'Gas Properties PR EOS'!$E$7:$P$7</c:f>
              <c:strCache>
                <c:ptCount val="1"/>
                <c:pt idx="0">
                  <c:v>EOS - Peng-Robinson (1976)</c:v>
                </c:pt>
              </c:strCache>
            </c:strRef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EOS'!$N$10:$N$109</c:f>
              <c:numCache>
                <c:formatCode>0.00000</c:formatCode>
                <c:ptCount val="100"/>
                <c:pt idx="0">
                  <c:v>0.99129</c:v>
                </c:pt>
                <c:pt idx="1">
                  <c:v>0.98290999999999995</c:v>
                </c:pt>
                <c:pt idx="2">
                  <c:v>0.97487999999999997</c:v>
                </c:pt>
                <c:pt idx="3">
                  <c:v>0.96721000000000001</c:v>
                </c:pt>
                <c:pt idx="4">
                  <c:v>0.95992</c:v>
                </c:pt>
                <c:pt idx="5">
                  <c:v>0.95299999999999996</c:v>
                </c:pt>
                <c:pt idx="6">
                  <c:v>0.94647999999999999</c:v>
                </c:pt>
                <c:pt idx="7">
                  <c:v>0.94035000000000002</c:v>
                </c:pt>
                <c:pt idx="8">
                  <c:v>0.93462999999999996</c:v>
                </c:pt>
                <c:pt idx="9">
                  <c:v>0.92932000000000003</c:v>
                </c:pt>
                <c:pt idx="10">
                  <c:v>0.92442000000000002</c:v>
                </c:pt>
                <c:pt idx="11">
                  <c:v>0.91995000000000005</c:v>
                </c:pt>
                <c:pt idx="12">
                  <c:v>0.91588999999999998</c:v>
                </c:pt>
                <c:pt idx="13">
                  <c:v>0.91224000000000005</c:v>
                </c:pt>
                <c:pt idx="14">
                  <c:v>0.90902000000000005</c:v>
                </c:pt>
                <c:pt idx="15">
                  <c:v>0.90620999999999996</c:v>
                </c:pt>
                <c:pt idx="16">
                  <c:v>0.90380000000000005</c:v>
                </c:pt>
                <c:pt idx="17">
                  <c:v>0.90180000000000005</c:v>
                </c:pt>
                <c:pt idx="18">
                  <c:v>0.9002</c:v>
                </c:pt>
                <c:pt idx="19">
                  <c:v>0.89898</c:v>
                </c:pt>
                <c:pt idx="20">
                  <c:v>0.89814000000000005</c:v>
                </c:pt>
                <c:pt idx="21">
                  <c:v>0.89766999999999997</c:v>
                </c:pt>
                <c:pt idx="22">
                  <c:v>0.89754999999999996</c:v>
                </c:pt>
                <c:pt idx="23">
                  <c:v>0.89778000000000002</c:v>
                </c:pt>
                <c:pt idx="24">
                  <c:v>0.89834000000000003</c:v>
                </c:pt>
                <c:pt idx="25">
                  <c:v>0.89922000000000002</c:v>
                </c:pt>
                <c:pt idx="26">
                  <c:v>0.90042</c:v>
                </c:pt>
                <c:pt idx="27">
                  <c:v>0.90190000000000003</c:v>
                </c:pt>
                <c:pt idx="28">
                  <c:v>0.90366999999999997</c:v>
                </c:pt>
                <c:pt idx="29">
                  <c:v>0.90571999999999997</c:v>
                </c:pt>
                <c:pt idx="30">
                  <c:v>0.90800999999999998</c:v>
                </c:pt>
                <c:pt idx="31">
                  <c:v>0.91056000000000004</c:v>
                </c:pt>
                <c:pt idx="32">
                  <c:v>0.91334000000000004</c:v>
                </c:pt>
                <c:pt idx="33">
                  <c:v>0.91634000000000004</c:v>
                </c:pt>
                <c:pt idx="34">
                  <c:v>0.91956000000000004</c:v>
                </c:pt>
                <c:pt idx="35">
                  <c:v>0.92296999999999996</c:v>
                </c:pt>
                <c:pt idx="36">
                  <c:v>0.92657999999999996</c:v>
                </c:pt>
                <c:pt idx="37">
                  <c:v>0.93035999999999996</c:v>
                </c:pt>
                <c:pt idx="38">
                  <c:v>0.93432000000000004</c:v>
                </c:pt>
                <c:pt idx="39">
                  <c:v>0.93844000000000005</c:v>
                </c:pt>
                <c:pt idx="40">
                  <c:v>0.94272</c:v>
                </c:pt>
                <c:pt idx="41">
                  <c:v>0.94713000000000003</c:v>
                </c:pt>
                <c:pt idx="42">
                  <c:v>0.95169000000000004</c:v>
                </c:pt>
                <c:pt idx="43">
                  <c:v>0.95638000000000001</c:v>
                </c:pt>
                <c:pt idx="44">
                  <c:v>0.96118000000000003</c:v>
                </c:pt>
                <c:pt idx="45">
                  <c:v>0.96611000000000002</c:v>
                </c:pt>
                <c:pt idx="46">
                  <c:v>0.97114</c:v>
                </c:pt>
                <c:pt idx="47">
                  <c:v>0.97628000000000004</c:v>
                </c:pt>
                <c:pt idx="48">
                  <c:v>0.98151999999999995</c:v>
                </c:pt>
                <c:pt idx="49">
                  <c:v>0.98685</c:v>
                </c:pt>
                <c:pt idx="50">
                  <c:v>0.99226999999999999</c:v>
                </c:pt>
                <c:pt idx="51">
                  <c:v>0.99777000000000005</c:v>
                </c:pt>
                <c:pt idx="52">
                  <c:v>1.00335</c:v>
                </c:pt>
                <c:pt idx="53">
                  <c:v>1.00901</c:v>
                </c:pt>
                <c:pt idx="54">
                  <c:v>1.0147299999999999</c:v>
                </c:pt>
                <c:pt idx="55">
                  <c:v>1.0205299999999999</c:v>
                </c:pt>
                <c:pt idx="56">
                  <c:v>1.0263800000000001</c:v>
                </c:pt>
                <c:pt idx="57">
                  <c:v>1.0323</c:v>
                </c:pt>
                <c:pt idx="58">
                  <c:v>1.03827</c:v>
                </c:pt>
                <c:pt idx="59">
                  <c:v>1.0443</c:v>
                </c:pt>
                <c:pt idx="60" formatCode="General">
                  <c:v>1.0503800000000001</c:v>
                </c:pt>
                <c:pt idx="61" formatCode="General">
                  <c:v>1.0565</c:v>
                </c:pt>
                <c:pt idx="62" formatCode="General">
                  <c:v>1.0626800000000001</c:v>
                </c:pt>
                <c:pt idx="63" formatCode="General">
                  <c:v>1.0688899999999999</c:v>
                </c:pt>
                <c:pt idx="64" formatCode="General">
                  <c:v>1.0751500000000001</c:v>
                </c:pt>
                <c:pt idx="65" formatCode="General">
                  <c:v>1.08145</c:v>
                </c:pt>
                <c:pt idx="66" formatCode="General">
                  <c:v>1.08778</c:v>
                </c:pt>
                <c:pt idx="67" formatCode="General">
                  <c:v>1.09415</c:v>
                </c:pt>
                <c:pt idx="68" formatCode="General">
                  <c:v>1.1005499999999999</c:v>
                </c:pt>
                <c:pt idx="69" formatCode="General">
                  <c:v>1.1069800000000001</c:v>
                </c:pt>
                <c:pt idx="70" formatCode="General">
                  <c:v>1.1134500000000001</c:v>
                </c:pt>
                <c:pt idx="71" formatCode="General">
                  <c:v>1.1199399999999999</c:v>
                </c:pt>
                <c:pt idx="72" formatCode="General">
                  <c:v>1.12646</c:v>
                </c:pt>
                <c:pt idx="73" formatCode="General">
                  <c:v>1.133</c:v>
                </c:pt>
                <c:pt idx="74" formatCode="General">
                  <c:v>1.13958</c:v>
                </c:pt>
                <c:pt idx="75" formatCode="General">
                  <c:v>1.1461699999999999</c:v>
                </c:pt>
                <c:pt idx="76" formatCode="General">
                  <c:v>1.1527799999999999</c:v>
                </c:pt>
                <c:pt idx="77" formatCode="General">
                  <c:v>1.1594199999999999</c:v>
                </c:pt>
                <c:pt idx="78" formatCode="General">
                  <c:v>1.16608</c:v>
                </c:pt>
                <c:pt idx="79" formatCode="General">
                  <c:v>1.17275</c:v>
                </c:pt>
                <c:pt idx="80" formatCode="General">
                  <c:v>1.1794500000000001</c:v>
                </c:pt>
                <c:pt idx="81" formatCode="General">
                  <c:v>1.1861600000000001</c:v>
                </c:pt>
                <c:pt idx="82" formatCode="General">
                  <c:v>1.19289</c:v>
                </c:pt>
                <c:pt idx="83" formatCode="General">
                  <c:v>1.19963</c:v>
                </c:pt>
                <c:pt idx="84" formatCode="General">
                  <c:v>1.2063900000000001</c:v>
                </c:pt>
                <c:pt idx="85" formatCode="General">
                  <c:v>1.21316</c:v>
                </c:pt>
                <c:pt idx="86" formatCode="General">
                  <c:v>1.2199500000000001</c:v>
                </c:pt>
                <c:pt idx="87" formatCode="General">
                  <c:v>1.22675</c:v>
                </c:pt>
                <c:pt idx="88" formatCode="General">
                  <c:v>1.23356</c:v>
                </c:pt>
                <c:pt idx="89" formatCode="General">
                  <c:v>1.24038</c:v>
                </c:pt>
                <c:pt idx="90" formatCode="General">
                  <c:v>1.2472099999999999</c:v>
                </c:pt>
                <c:pt idx="91" formatCode="General">
                  <c:v>1.25406</c:v>
                </c:pt>
                <c:pt idx="92" formatCode="General">
                  <c:v>1.26091</c:v>
                </c:pt>
                <c:pt idx="93" formatCode="General">
                  <c:v>1.2677700000000001</c:v>
                </c:pt>
                <c:pt idx="94" formatCode="General">
                  <c:v>1.27464</c:v>
                </c:pt>
                <c:pt idx="95" formatCode="General">
                  <c:v>1.28152</c:v>
                </c:pt>
                <c:pt idx="96" formatCode="General">
                  <c:v>1.2884100000000001</c:v>
                </c:pt>
                <c:pt idx="97" formatCode="General">
                  <c:v>1.29531</c:v>
                </c:pt>
                <c:pt idx="98" formatCode="General">
                  <c:v>1.3022100000000001</c:v>
                </c:pt>
                <c:pt idx="99" formatCode="General">
                  <c:v>1.3091200000000001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6-4E63-BA4F-347EB3DDD7F3}"/>
            </c:ext>
          </c:extLst>
        </c:ser>
        <c:ser>
          <c:idx val="0"/>
          <c:order val="1"/>
          <c:tx>
            <c:strRef>
              <c:f>'Gas Properties PR EOS'!$V$6</c:f>
              <c:strCache>
                <c:ptCount val="1"/>
                <c:pt idx="0">
                  <c:v>Hall &amp; Yarborough (1974)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EOS'!$AD$10:$AD$109</c:f>
              <c:numCache>
                <c:formatCode>General</c:formatCode>
                <c:ptCount val="100"/>
                <c:pt idx="0">
                  <c:v>1.0960692510179519</c:v>
                </c:pt>
                <c:pt idx="1">
                  <c:v>0.98629114839839105</c:v>
                </c:pt>
                <c:pt idx="2">
                  <c:v>0.97842914099234057</c:v>
                </c:pt>
                <c:pt idx="3">
                  <c:v>0.99585663205327291</c:v>
                </c:pt>
                <c:pt idx="4">
                  <c:v>0.96485916070372968</c:v>
                </c:pt>
                <c:pt idx="5">
                  <c:v>0.95786417138576907</c:v>
                </c:pt>
                <c:pt idx="6">
                  <c:v>0.95142624158710887</c:v>
                </c:pt>
                <c:pt idx="7">
                  <c:v>0.94531924956728741</c:v>
                </c:pt>
                <c:pt idx="8">
                  <c:v>0.95809383402089965</c:v>
                </c:pt>
                <c:pt idx="9">
                  <c:v>0.95905288690780732</c:v>
                </c:pt>
                <c:pt idx="10">
                  <c:v>0.95041277080953879</c:v>
                </c:pt>
                <c:pt idx="11">
                  <c:v>0.93406660521821983</c:v>
                </c:pt>
                <c:pt idx="12">
                  <c:v>0.92007494935935374</c:v>
                </c:pt>
                <c:pt idx="13">
                  <c:v>0.9159400911505412</c:v>
                </c:pt>
                <c:pt idx="14">
                  <c:v>0.91223650426069491</c:v>
                </c:pt>
                <c:pt idx="15">
                  <c:v>0.90892669082249711</c:v>
                </c:pt>
                <c:pt idx="16">
                  <c:v>0.90602064027015772</c:v>
                </c:pt>
                <c:pt idx="17">
                  <c:v>0.90352718416619338</c:v>
                </c:pt>
                <c:pt idx="18">
                  <c:v>0.9014535625744291</c:v>
                </c:pt>
                <c:pt idx="19">
                  <c:v>0.89980521731906349</c:v>
                </c:pt>
                <c:pt idx="20">
                  <c:v>0.89858563632414734</c:v>
                </c:pt>
                <c:pt idx="21">
                  <c:v>0.89779625177855327</c:v>
                </c:pt>
                <c:pt idx="22">
                  <c:v>0.89743639403215891</c:v>
                </c:pt>
                <c:pt idx="23">
                  <c:v>0.8975033010563922</c:v>
                </c:pt>
                <c:pt idx="24">
                  <c:v>0.89799218088211719</c:v>
                </c:pt>
                <c:pt idx="25">
                  <c:v>0.89889632203727754</c:v>
                </c:pt>
                <c:pt idx="26">
                  <c:v>0.90020724495400872</c:v>
                </c:pt>
                <c:pt idx="27">
                  <c:v>0.90191488581964163</c:v>
                </c:pt>
                <c:pt idx="28">
                  <c:v>0.90400780352637078</c:v>
                </c:pt>
                <c:pt idx="29">
                  <c:v>0.90647340024807199</c:v>
                </c:pt>
                <c:pt idx="30">
                  <c:v>0.90929814667198017</c:v>
                </c:pt>
                <c:pt idx="31">
                  <c:v>0.91246780390800286</c:v>
                </c:pt>
                <c:pt idx="32">
                  <c:v>0.91596763542894233</c:v>
                </c:pt>
                <c:pt idx="33">
                  <c:v>0.91978260389493205</c:v>
                </c:pt>
                <c:pt idx="34">
                  <c:v>0.92389754923736567</c:v>
                </c:pt>
                <c:pt idx="35">
                  <c:v>0.92829734580430801</c:v>
                </c:pt>
                <c:pt idx="36">
                  <c:v>0.93296703762029365</c:v>
                </c:pt>
                <c:pt idx="37">
                  <c:v>0.9378919518437695</c:v>
                </c:pt>
                <c:pt idx="38">
                  <c:v>0.94305779130063117</c:v>
                </c:pt>
                <c:pt idx="39">
                  <c:v>0.94845070754107885</c:v>
                </c:pt>
                <c:pt idx="40">
                  <c:v>0.95405735623315469</c:v>
                </c:pt>
                <c:pt idx="41">
                  <c:v>0.9598649369020521</c:v>
                </c:pt>
                <c:pt idx="42">
                  <c:v>0.96586121908464551</c:v>
                </c:pt>
                <c:pt idx="43">
                  <c:v>0.9720345569276474</c:v>
                </c:pt>
                <c:pt idx="44">
                  <c:v>0.978373894145671</c:v>
                </c:pt>
                <c:pt idx="45">
                  <c:v>0.98486876109793919</c:v>
                </c:pt>
                <c:pt idx="46">
                  <c:v>0.99150926555991836</c:v>
                </c:pt>
                <c:pt idx="47">
                  <c:v>0.9982860785743064</c:v>
                </c:pt>
                <c:pt idx="48">
                  <c:v>1.0051904165758776</c:v>
                </c:pt>
                <c:pt idx="49">
                  <c:v>1.015549016544633</c:v>
                </c:pt>
                <c:pt idx="50">
                  <c:v>1.019293985750706</c:v>
                </c:pt>
                <c:pt idx="51">
                  <c:v>1.0289902399347064</c:v>
                </c:pt>
                <c:pt idx="52">
                  <c:v>1.0338892778065356</c:v>
                </c:pt>
                <c:pt idx="53">
                  <c:v>1.0429669531394159</c:v>
                </c:pt>
                <c:pt idx="54">
                  <c:v>1.0517635207676541</c:v>
                </c:pt>
                <c:pt idx="55">
                  <c:v>1.0564168422802622</c:v>
                </c:pt>
                <c:pt idx="56">
                  <c:v>1.0646350779698539</c:v>
                </c:pt>
                <c:pt idx="57">
                  <c:v>1.0725870161933564</c:v>
                </c:pt>
                <c:pt idx="58">
                  <c:v>1.0802771245375218</c:v>
                </c:pt>
                <c:pt idx="59">
                  <c:v>1.0877098082270735</c:v>
                </c:pt>
                <c:pt idx="60">
                  <c:v>1.0948894109216418</c:v>
                </c:pt>
                <c:pt idx="61">
                  <c:v>1.1018202155030319</c:v>
                </c:pt>
                <c:pt idx="62">
                  <c:v>1.1114377454963811</c:v>
                </c:pt>
                <c:pt idx="63">
                  <c:v>1.117900608388628</c:v>
                </c:pt>
                <c:pt idx="64">
                  <c:v>1.1276082488973429</c:v>
                </c:pt>
                <c:pt idx="65">
                  <c:v>1.1336198694169783</c:v>
                </c:pt>
                <c:pt idx="66">
                  <c:v>1.1439398364023472</c:v>
                </c:pt>
                <c:pt idx="67">
                  <c:v>1.1521486215790004</c:v>
                </c:pt>
                <c:pt idx="68">
                  <c:v>1.1603996616807739</c:v>
                </c:pt>
                <c:pt idx="69">
                  <c:v>1.1686806109944901</c:v>
                </c:pt>
                <c:pt idx="70">
                  <c:v>1.1769894471989717</c:v>
                </c:pt>
                <c:pt idx="71">
                  <c:v>1.1853242112504945</c:v>
                </c:pt>
                <c:pt idx="72">
                  <c:v>1.1936830651714196</c:v>
                </c:pt>
                <c:pt idx="73">
                  <c:v>1.2020642836204463</c:v>
                </c:pt>
                <c:pt idx="74">
                  <c:v>1.2104662464314961</c:v>
                </c:pt>
                <c:pt idx="75">
                  <c:v>1.2188874316739895</c:v>
                </c:pt>
                <c:pt idx="76">
                  <c:v>1.2273264092004186</c:v>
                </c:pt>
                <c:pt idx="77">
                  <c:v>1.2357818346468956</c:v>
                </c:pt>
                <c:pt idx="78">
                  <c:v>1.2442524438544751</c:v>
                </c:pt>
                <c:pt idx="79">
                  <c:v>1.2527370476811082</c:v>
                </c:pt>
                <c:pt idx="80">
                  <c:v>1.2612345271760637</c:v>
                </c:pt>
                <c:pt idx="81">
                  <c:v>1.2697438290905712</c:v>
                </c:pt>
                <c:pt idx="82">
                  <c:v>1.278263961700264</c:v>
                </c:pt>
                <c:pt idx="83">
                  <c:v>1.2867939909167139</c:v>
                </c:pt>
                <c:pt idx="84">
                  <c:v>1.2953330366669786</c:v>
                </c:pt>
                <c:pt idx="85">
                  <c:v>1.3038802695216269</c:v>
                </c:pt>
                <c:pt idx="86">
                  <c:v>1.3124349075531161</c:v>
                </c:pt>
                <c:pt idx="87">
                  <c:v>1.3209962134077495</c:v>
                </c:pt>
                <c:pt idx="88">
                  <c:v>1.3295634915756871</c:v>
                </c:pt>
                <c:pt idx="89">
                  <c:v>1.3381360858446356</c:v>
                </c:pt>
                <c:pt idx="90">
                  <c:v>1.3467133769239288</c:v>
                </c:pt>
                <c:pt idx="91">
                  <c:v>1.3552947802266992</c:v>
                </c:pt>
                <c:pt idx="92">
                  <c:v>1.3638797437987853</c:v>
                </c:pt>
                <c:pt idx="93">
                  <c:v>1.3724677463838482</c:v>
                </c:pt>
                <c:pt idx="94">
                  <c:v>1.3810582956149904</c:v>
                </c:pt>
                <c:pt idx="95">
                  <c:v>1.3896509263238805</c:v>
                </c:pt>
                <c:pt idx="96">
                  <c:v>1.3982451989590832</c:v>
                </c:pt>
                <c:pt idx="97">
                  <c:v>1.406840698105895</c:v>
                </c:pt>
                <c:pt idx="98">
                  <c:v>1.4154370311005808</c:v>
                </c:pt>
                <c:pt idx="99">
                  <c:v>1.4240338267324431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06-4E63-BA4F-347EB3DDD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1824"/>
        <c:axId val="546881344"/>
      </c:scatterChart>
      <c:valAx>
        <c:axId val="546871824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81344"/>
        <c:crossesAt val="0"/>
        <c:crossBetween val="midCat"/>
      </c:valAx>
      <c:valAx>
        <c:axId val="546881344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1824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12433862433862433"/>
          <c:y val="0.63721839268361347"/>
          <c:w val="0.25829610823164195"/>
          <c:h val="0.11965534084914324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Hall-Yarborough</a:t>
            </a:r>
            <a:r>
              <a:rPr lang="es-BO" sz="1200" baseline="0">
                <a:solidFill>
                  <a:srgbClr val="0000FF"/>
                </a:solidFill>
              </a:rPr>
              <a:t> f</a:t>
            </a:r>
            <a:r>
              <a:rPr lang="es-BO" sz="1200">
                <a:solidFill>
                  <a:srgbClr val="0000FF"/>
                </a:solidFill>
              </a:rPr>
              <a:t>(y)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181284000399598E-2"/>
          <c:w val="0.84530568430719188"/>
          <c:h val="0.775343341597871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'Gas Properties PR EOS'!$V$6</c:f>
              <c:strCache>
                <c:ptCount val="1"/>
                <c:pt idx="0">
                  <c:v>Hall &amp; Yarborough (1974)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EOS'!$AC$10:$AC$109</c:f>
              <c:numCache>
                <c:formatCode>General</c:formatCode>
                <c:ptCount val="100"/>
                <c:pt idx="0">
                  <c:v>-3.7645972995246023E-4</c:v>
                </c:pt>
                <c:pt idx="1">
                  <c:v>-1.0928997465259597E-5</c:v>
                </c:pt>
                <c:pt idx="2">
                  <c:v>-8.747200852907451E-6</c:v>
                </c:pt>
                <c:pt idx="3">
                  <c:v>-3.939013184140969E-4</c:v>
                </c:pt>
                <c:pt idx="4">
                  <c:v>-1.8644244711840967E-5</c:v>
                </c:pt>
                <c:pt idx="5">
                  <c:v>-1.1010245571950092E-5</c:v>
                </c:pt>
                <c:pt idx="6">
                  <c:v>-7.912291769162536E-6</c:v>
                </c:pt>
                <c:pt idx="7">
                  <c:v>-5.2107778675759405E-6</c:v>
                </c:pt>
                <c:pt idx="8">
                  <c:v>-6.6636635235186442E-4</c:v>
                </c:pt>
                <c:pt idx="9">
                  <c:v>-9.8936748902735952E-4</c:v>
                </c:pt>
                <c:pt idx="10">
                  <c:v>-9.3952193517731267E-4</c:v>
                </c:pt>
                <c:pt idx="11">
                  <c:v>-4.7722700086113721E-4</c:v>
                </c:pt>
                <c:pt idx="12">
                  <c:v>-1.180146081662545E-5</c:v>
                </c:pt>
                <c:pt idx="13">
                  <c:v>-6.7559644699522522E-6</c:v>
                </c:pt>
                <c:pt idx="14">
                  <c:v>-4.260550300855411E-6</c:v>
                </c:pt>
                <c:pt idx="15">
                  <c:v>-1.7344241368482359E-6</c:v>
                </c:pt>
                <c:pt idx="16">
                  <c:v>8.1183221160808713E-7</c:v>
                </c:pt>
                <c:pt idx="17">
                  <c:v>3.3549421424993332E-6</c:v>
                </c:pt>
                <c:pt idx="18">
                  <c:v>5.8698887032790793E-6</c:v>
                </c:pt>
                <c:pt idx="19">
                  <c:v>8.3306327700182099E-6</c:v>
                </c:pt>
                <c:pt idx="20">
                  <c:v>1.0710897911181752E-5</c:v>
                </c:pt>
                <c:pt idx="21">
                  <c:v>1.2985004632377894E-5</c:v>
                </c:pt>
                <c:pt idx="22">
                  <c:v>1.5128701301088485E-5</c:v>
                </c:pt>
                <c:pt idx="23">
                  <c:v>1.7119937414981044E-5</c:v>
                </c:pt>
                <c:pt idx="24">
                  <c:v>1.8939529313685699E-5</c:v>
                </c:pt>
                <c:pt idx="25">
                  <c:v>2.0571678360059575E-5</c:v>
                </c:pt>
                <c:pt idx="26">
                  <c:v>2.200431553065537E-5</c:v>
                </c:pt>
                <c:pt idx="27">
                  <c:v>2.32292621993287E-5</c:v>
                </c:pt>
                <c:pt idx="28">
                  <c:v>2.4242212474604591E-5</c:v>
                </c:pt>
                <c:pt idx="29">
                  <c:v>2.504255582160865E-5</c:v>
                </c:pt>
                <c:pt idx="30">
                  <c:v>2.5633068493362623E-5</c:v>
                </c:pt>
                <c:pt idx="31">
                  <c:v>2.6019507941373379E-5</c:v>
                </c:pt>
                <c:pt idx="32">
                  <c:v>2.6210145889276823E-5</c:v>
                </c:pt>
                <c:pt idx="33">
                  <c:v>2.6215273842613088E-5</c:v>
                </c:pt>
                <c:pt idx="34">
                  <c:v>2.6046710353569424E-5</c:v>
                </c:pt>
                <c:pt idx="35">
                  <c:v>2.5717333438347867E-5</c:v>
                </c:pt>
                <c:pt idx="36">
                  <c:v>2.5240655095307152E-5</c:v>
                </c:pt>
                <c:pt idx="37">
                  <c:v>2.4630448652116638E-5</c:v>
                </c:pt>
                <c:pt idx="38">
                  <c:v>2.3900434203541487E-5</c:v>
                </c:pt>
                <c:pt idx="39">
                  <c:v>2.3064022960032904E-5</c:v>
                </c:pt>
                <c:pt idx="40">
                  <c:v>2.2134117997840708E-5</c:v>
                </c:pt>
                <c:pt idx="41">
                  <c:v>2.1122966642226487E-5</c:v>
                </c:pt>
                <c:pt idx="42">
                  <c:v>2.0042058384288353E-5</c:v>
                </c:pt>
                <c:pt idx="43">
                  <c:v>1.8902061624206934E-5</c:v>
                </c:pt>
                <c:pt idx="44">
                  <c:v>1.7712792517544235E-5</c:v>
                </c:pt>
                <c:pt idx="45">
                  <c:v>1.6483209541395816E-5</c:v>
                </c:pt>
                <c:pt idx="46">
                  <c:v>1.5221427993046543E-5</c:v>
                </c:pt>
                <c:pt idx="47">
                  <c:v>1.3934749357548404E-5</c:v>
                </c:pt>
                <c:pt idx="48">
                  <c:v>1.2629701238588142E-5</c:v>
                </c:pt>
                <c:pt idx="49">
                  <c:v>-9.9711012102766949E-4</c:v>
                </c:pt>
                <c:pt idx="50">
                  <c:v>2.7245157175261048E-5</c:v>
                </c:pt>
                <c:pt idx="51">
                  <c:v>-7.6030343417986257E-4</c:v>
                </c:pt>
                <c:pt idx="52">
                  <c:v>1.9209905174351338E-5</c:v>
                </c:pt>
                <c:pt idx="53">
                  <c:v>-5.3949509007398394E-4</c:v>
                </c:pt>
                <c:pt idx="54">
                  <c:v>-9.9748856364965249E-4</c:v>
                </c:pt>
                <c:pt idx="55">
                  <c:v>1.8072288675098636E-5</c:v>
                </c:pt>
                <c:pt idx="56">
                  <c:v>-1.8419709292156333E-4</c:v>
                </c:pt>
                <c:pt idx="57">
                  <c:v>-2.7058713398313283E-4</c:v>
                </c:pt>
                <c:pt idx="58">
                  <c:v>-2.3609453300606903E-4</c:v>
                </c:pt>
                <c:pt idx="59">
                  <c:v>-7.5464933326045702E-5</c:v>
                </c:pt>
                <c:pt idx="60">
                  <c:v>2.1682096436081294E-4</c:v>
                </c:pt>
                <c:pt idx="61">
                  <c:v>6.4656212790206724E-4</c:v>
                </c:pt>
                <c:pt idx="62">
                  <c:v>-9.9035379778067423E-6</c:v>
                </c:pt>
                <c:pt idx="63">
                  <c:v>6.7290089954319399E-4</c:v>
                </c:pt>
                <c:pt idx="64">
                  <c:v>-1.1835941397808636E-5</c:v>
                </c:pt>
                <c:pt idx="65">
                  <c:v>9.3662413086567642E-4</c:v>
                </c:pt>
                <c:pt idx="66">
                  <c:v>-1.4381480452227424E-5</c:v>
                </c:pt>
                <c:pt idx="67">
                  <c:v>-1.0963854280038321E-5</c:v>
                </c:pt>
                <c:pt idx="68">
                  <c:v>-1.2065771457001051E-5</c:v>
                </c:pt>
                <c:pt idx="69">
                  <c:v>-1.3117547804974983E-5</c:v>
                </c:pt>
                <c:pt idx="70">
                  <c:v>-1.4149529329557375E-5</c:v>
                </c:pt>
                <c:pt idx="71">
                  <c:v>-1.5161732516311144E-5</c:v>
                </c:pt>
                <c:pt idx="72">
                  <c:v>-1.6154400503287647E-5</c:v>
                </c:pt>
                <c:pt idx="73">
                  <c:v>-1.7127807156111508E-5</c:v>
                </c:pt>
                <c:pt idx="74">
                  <c:v>-1.8082252437476298E-5</c:v>
                </c:pt>
                <c:pt idx="75">
                  <c:v>-1.9018057401357091E-5</c:v>
                </c:pt>
                <c:pt idx="76">
                  <c:v>-1.993555984765305E-5</c:v>
                </c:pt>
                <c:pt idx="77">
                  <c:v>-2.08351105433352E-5</c:v>
                </c:pt>
                <c:pt idx="78">
                  <c:v>-2.1717069951326939E-5</c:v>
                </c:pt>
                <c:pt idx="79">
                  <c:v>-2.2581805402738242E-5</c:v>
                </c:pt>
                <c:pt idx="80">
                  <c:v>-2.3429688662784942E-5</c:v>
                </c:pt>
                <c:pt idx="81">
                  <c:v>-2.4261093835020731E-5</c:v>
                </c:pt>
                <c:pt idx="82">
                  <c:v>-2.507639556927066E-5</c:v>
                </c:pt>
                <c:pt idx="83">
                  <c:v>-2.5875967538918632E-5</c:v>
                </c:pt>
                <c:pt idx="84">
                  <c:v>-2.6660181138449257E-5</c:v>
                </c:pt>
                <c:pt idx="85">
                  <c:v>-2.7429404394208046E-5</c:v>
                </c:pt>
                <c:pt idx="86">
                  <c:v>-2.8184001046413498E-5</c:v>
                </c:pt>
                <c:pt idx="87">
                  <c:v>-2.8924329786308989E-5</c:v>
                </c:pt>
                <c:pt idx="88">
                  <c:v>-2.9650743628331644E-5</c:v>
                </c:pt>
                <c:pt idx="89">
                  <c:v>-3.0363589399451385E-5</c:v>
                </c:pt>
                <c:pt idx="90">
                  <c:v>-3.1063207332412968E-5</c:v>
                </c:pt>
                <c:pt idx="91">
                  <c:v>-3.174993074078758E-5</c:v>
                </c:pt>
                <c:pt idx="92">
                  <c:v>-3.2424085776944223E-5</c:v>
                </c:pt>
                <c:pt idx="93">
                  <c:v>-3.3085991255288327E-5</c:v>
                </c:pt>
                <c:pt idx="94">
                  <c:v>-3.3735958528235965E-5</c:v>
                </c:pt>
                <c:pt idx="95">
                  <c:v>-3.4374291414063229E-5</c:v>
                </c:pt>
                <c:pt idx="96">
                  <c:v>-3.5001286167707368E-5</c:v>
                </c:pt>
                <c:pt idx="97">
                  <c:v>-3.5617231486317902E-5</c:v>
                </c:pt>
                <c:pt idx="98">
                  <c:v>-3.6222408539260398E-5</c:v>
                </c:pt>
                <c:pt idx="99">
                  <c:v>-3.6817091038809924E-5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7B-47A3-B70E-3E79A8D94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1824"/>
        <c:axId val="546881344"/>
      </c:scatterChart>
      <c:valAx>
        <c:axId val="546871824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81344"/>
        <c:crossesAt val="0"/>
        <c:crossBetween val="midCat"/>
      </c:valAx>
      <c:valAx>
        <c:axId val="546881344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1824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7883971400126705"/>
          <c:w val="0.84530568430719188"/>
          <c:h val="0.68768488497761304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Plots!$D$10:$D$30</c:f>
              <c:numCache>
                <c:formatCode>0.0000</c:formatCode>
                <c:ptCount val="21"/>
                <c:pt idx="0">
                  <c:v>0.89215</c:v>
                </c:pt>
                <c:pt idx="1">
                  <c:v>0.79803999999999997</c:v>
                </c:pt>
                <c:pt idx="2">
                  <c:v>0.73182999999999998</c:v>
                </c:pt>
                <c:pt idx="3">
                  <c:v>0.70360999999999996</c:v>
                </c:pt>
                <c:pt idx="4">
                  <c:v>0.70779000000000003</c:v>
                </c:pt>
                <c:pt idx="5">
                  <c:v>0.73194000000000004</c:v>
                </c:pt>
                <c:pt idx="6">
                  <c:v>0.76702000000000004</c:v>
                </c:pt>
                <c:pt idx="7">
                  <c:v>0.80806</c:v>
                </c:pt>
                <c:pt idx="8">
                  <c:v>0.85243999999999998</c:v>
                </c:pt>
                <c:pt idx="9">
                  <c:v>0.89875000000000005</c:v>
                </c:pt>
                <c:pt idx="10">
                  <c:v>0.94620000000000004</c:v>
                </c:pt>
                <c:pt idx="11">
                  <c:v>0.99429999999999996</c:v>
                </c:pt>
                <c:pt idx="12">
                  <c:v>1.0468900000000001</c:v>
                </c:pt>
                <c:pt idx="13">
                  <c:v>1.1069800000000001</c:v>
                </c:pt>
                <c:pt idx="14">
                  <c:v>1.13958</c:v>
                </c:pt>
                <c:pt idx="15">
                  <c:v>1.17275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2-4E2B-9E37-C84982816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1824"/>
        <c:axId val="54688134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EOS'!$N$10:$N$109</c:f>
              <c:numCache>
                <c:formatCode>0.00000</c:formatCode>
                <c:ptCount val="100"/>
                <c:pt idx="0">
                  <c:v>0.99129</c:v>
                </c:pt>
                <c:pt idx="1">
                  <c:v>0.98290999999999995</c:v>
                </c:pt>
                <c:pt idx="2">
                  <c:v>0.97487999999999997</c:v>
                </c:pt>
                <c:pt idx="3">
                  <c:v>0.96721000000000001</c:v>
                </c:pt>
                <c:pt idx="4">
                  <c:v>0.95992</c:v>
                </c:pt>
                <c:pt idx="5">
                  <c:v>0.95299999999999996</c:v>
                </c:pt>
                <c:pt idx="6">
                  <c:v>0.94647999999999999</c:v>
                </c:pt>
                <c:pt idx="7">
                  <c:v>0.94035000000000002</c:v>
                </c:pt>
                <c:pt idx="8">
                  <c:v>0.93462999999999996</c:v>
                </c:pt>
                <c:pt idx="9">
                  <c:v>0.92932000000000003</c:v>
                </c:pt>
                <c:pt idx="10">
                  <c:v>0.92442000000000002</c:v>
                </c:pt>
                <c:pt idx="11">
                  <c:v>0.91995000000000005</c:v>
                </c:pt>
                <c:pt idx="12">
                  <c:v>0.91588999999999998</c:v>
                </c:pt>
                <c:pt idx="13">
                  <c:v>0.91224000000000005</c:v>
                </c:pt>
                <c:pt idx="14">
                  <c:v>0.90902000000000005</c:v>
                </c:pt>
                <c:pt idx="15">
                  <c:v>0.90620999999999996</c:v>
                </c:pt>
                <c:pt idx="16">
                  <c:v>0.90380000000000005</c:v>
                </c:pt>
                <c:pt idx="17">
                  <c:v>0.90180000000000005</c:v>
                </c:pt>
                <c:pt idx="18">
                  <c:v>0.9002</c:v>
                </c:pt>
                <c:pt idx="19">
                  <c:v>0.89898</c:v>
                </c:pt>
                <c:pt idx="20">
                  <c:v>0.89814000000000005</c:v>
                </c:pt>
                <c:pt idx="21">
                  <c:v>0.89766999999999997</c:v>
                </c:pt>
                <c:pt idx="22">
                  <c:v>0.89754999999999996</c:v>
                </c:pt>
                <c:pt idx="23">
                  <c:v>0.89778000000000002</c:v>
                </c:pt>
                <c:pt idx="24">
                  <c:v>0.89834000000000003</c:v>
                </c:pt>
                <c:pt idx="25">
                  <c:v>0.89922000000000002</c:v>
                </c:pt>
                <c:pt idx="26">
                  <c:v>0.90042</c:v>
                </c:pt>
                <c:pt idx="27">
                  <c:v>0.90190000000000003</c:v>
                </c:pt>
                <c:pt idx="28">
                  <c:v>0.90366999999999997</c:v>
                </c:pt>
                <c:pt idx="29">
                  <c:v>0.90571999999999997</c:v>
                </c:pt>
                <c:pt idx="30">
                  <c:v>0.90800999999999998</c:v>
                </c:pt>
                <c:pt idx="31">
                  <c:v>0.91056000000000004</c:v>
                </c:pt>
                <c:pt idx="32">
                  <c:v>0.91334000000000004</c:v>
                </c:pt>
                <c:pt idx="33">
                  <c:v>0.91634000000000004</c:v>
                </c:pt>
                <c:pt idx="34">
                  <c:v>0.91956000000000004</c:v>
                </c:pt>
                <c:pt idx="35">
                  <c:v>0.92296999999999996</c:v>
                </c:pt>
                <c:pt idx="36">
                  <c:v>0.92657999999999996</c:v>
                </c:pt>
                <c:pt idx="37">
                  <c:v>0.93035999999999996</c:v>
                </c:pt>
                <c:pt idx="38">
                  <c:v>0.93432000000000004</c:v>
                </c:pt>
                <c:pt idx="39">
                  <c:v>0.93844000000000005</c:v>
                </c:pt>
                <c:pt idx="40">
                  <c:v>0.94272</c:v>
                </c:pt>
                <c:pt idx="41">
                  <c:v>0.94713000000000003</c:v>
                </c:pt>
                <c:pt idx="42">
                  <c:v>0.95169000000000004</c:v>
                </c:pt>
                <c:pt idx="43">
                  <c:v>0.95638000000000001</c:v>
                </c:pt>
                <c:pt idx="44">
                  <c:v>0.96118000000000003</c:v>
                </c:pt>
                <c:pt idx="45">
                  <c:v>0.96611000000000002</c:v>
                </c:pt>
                <c:pt idx="46">
                  <c:v>0.97114</c:v>
                </c:pt>
                <c:pt idx="47">
                  <c:v>0.97628000000000004</c:v>
                </c:pt>
                <c:pt idx="48">
                  <c:v>0.98151999999999995</c:v>
                </c:pt>
                <c:pt idx="49">
                  <c:v>0.98685</c:v>
                </c:pt>
                <c:pt idx="50">
                  <c:v>0.99226999999999999</c:v>
                </c:pt>
                <c:pt idx="51">
                  <c:v>0.99777000000000005</c:v>
                </c:pt>
                <c:pt idx="52">
                  <c:v>1.00335</c:v>
                </c:pt>
                <c:pt idx="53">
                  <c:v>1.00901</c:v>
                </c:pt>
                <c:pt idx="54">
                  <c:v>1.0147299999999999</c:v>
                </c:pt>
                <c:pt idx="55">
                  <c:v>1.0205299999999999</c:v>
                </c:pt>
                <c:pt idx="56">
                  <c:v>1.0263800000000001</c:v>
                </c:pt>
                <c:pt idx="57">
                  <c:v>1.0323</c:v>
                </c:pt>
                <c:pt idx="58">
                  <c:v>1.03827</c:v>
                </c:pt>
                <c:pt idx="59">
                  <c:v>1.0443</c:v>
                </c:pt>
                <c:pt idx="60" formatCode="General">
                  <c:v>1.0503800000000001</c:v>
                </c:pt>
                <c:pt idx="61" formatCode="General">
                  <c:v>1.0565</c:v>
                </c:pt>
                <c:pt idx="62" formatCode="General">
                  <c:v>1.0626800000000001</c:v>
                </c:pt>
                <c:pt idx="63" formatCode="General">
                  <c:v>1.0688899999999999</c:v>
                </c:pt>
                <c:pt idx="64" formatCode="General">
                  <c:v>1.0751500000000001</c:v>
                </c:pt>
                <c:pt idx="65" formatCode="General">
                  <c:v>1.08145</c:v>
                </c:pt>
                <c:pt idx="66" formatCode="General">
                  <c:v>1.08778</c:v>
                </c:pt>
                <c:pt idx="67" formatCode="General">
                  <c:v>1.09415</c:v>
                </c:pt>
                <c:pt idx="68" formatCode="General">
                  <c:v>1.1005499999999999</c:v>
                </c:pt>
                <c:pt idx="69" formatCode="General">
                  <c:v>1.1069800000000001</c:v>
                </c:pt>
                <c:pt idx="70" formatCode="General">
                  <c:v>1.1134500000000001</c:v>
                </c:pt>
                <c:pt idx="71" formatCode="General">
                  <c:v>1.1199399999999999</c:v>
                </c:pt>
                <c:pt idx="72" formatCode="General">
                  <c:v>1.12646</c:v>
                </c:pt>
                <c:pt idx="73" formatCode="General">
                  <c:v>1.133</c:v>
                </c:pt>
                <c:pt idx="74" formatCode="General">
                  <c:v>1.13958</c:v>
                </c:pt>
                <c:pt idx="75" formatCode="General">
                  <c:v>1.1461699999999999</c:v>
                </c:pt>
                <c:pt idx="76" formatCode="General">
                  <c:v>1.1527799999999999</c:v>
                </c:pt>
                <c:pt idx="77" formatCode="General">
                  <c:v>1.1594199999999999</c:v>
                </c:pt>
                <c:pt idx="78" formatCode="General">
                  <c:v>1.16608</c:v>
                </c:pt>
                <c:pt idx="79" formatCode="General">
                  <c:v>1.17275</c:v>
                </c:pt>
                <c:pt idx="80" formatCode="General">
                  <c:v>1.1794500000000001</c:v>
                </c:pt>
                <c:pt idx="81" formatCode="General">
                  <c:v>1.1861600000000001</c:v>
                </c:pt>
                <c:pt idx="82" formatCode="General">
                  <c:v>1.19289</c:v>
                </c:pt>
                <c:pt idx="83" formatCode="General">
                  <c:v>1.19963</c:v>
                </c:pt>
                <c:pt idx="84" formatCode="General">
                  <c:v>1.2063900000000001</c:v>
                </c:pt>
                <c:pt idx="85" formatCode="General">
                  <c:v>1.21316</c:v>
                </c:pt>
                <c:pt idx="86" formatCode="General">
                  <c:v>1.2199500000000001</c:v>
                </c:pt>
                <c:pt idx="87" formatCode="General">
                  <c:v>1.22675</c:v>
                </c:pt>
                <c:pt idx="88" formatCode="General">
                  <c:v>1.23356</c:v>
                </c:pt>
                <c:pt idx="89" formatCode="General">
                  <c:v>1.24038</c:v>
                </c:pt>
                <c:pt idx="90" formatCode="General">
                  <c:v>1.2472099999999999</c:v>
                </c:pt>
                <c:pt idx="91" formatCode="General">
                  <c:v>1.25406</c:v>
                </c:pt>
                <c:pt idx="92" formatCode="General">
                  <c:v>1.26091</c:v>
                </c:pt>
                <c:pt idx="93" formatCode="General">
                  <c:v>1.2677700000000001</c:v>
                </c:pt>
                <c:pt idx="94" formatCode="General">
                  <c:v>1.27464</c:v>
                </c:pt>
                <c:pt idx="95" formatCode="General">
                  <c:v>1.28152</c:v>
                </c:pt>
                <c:pt idx="96" formatCode="General">
                  <c:v>1.2884100000000001</c:v>
                </c:pt>
                <c:pt idx="97" formatCode="General">
                  <c:v>1.29531</c:v>
                </c:pt>
                <c:pt idx="98" formatCode="General">
                  <c:v>1.3022100000000001</c:v>
                </c:pt>
                <c:pt idx="99" formatCode="General">
                  <c:v>1.3091200000000001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F2-4E2B-9E37-C84982816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9104"/>
        <c:axId val="546871264"/>
      </c:scatterChart>
      <c:valAx>
        <c:axId val="546871824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81344"/>
        <c:crossesAt val="0"/>
        <c:crossBetween val="midCat"/>
      </c:valAx>
      <c:valAx>
        <c:axId val="546881344"/>
        <c:scaling>
          <c:orientation val="minMax"/>
          <c:max val="1.3091200000000001"/>
          <c:min val="0.89754999999999996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1824"/>
        <c:crossesAt val="0"/>
        <c:crossBetween val="midCat"/>
      </c:valAx>
      <c:valAx>
        <c:axId val="546871264"/>
        <c:scaling>
          <c:orientation val="minMax"/>
          <c:max val="1.3091200000000001"/>
          <c:min val="0.89754999999999996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6879104"/>
        <c:crosses val="max"/>
        <c:crossBetween val="midCat"/>
      </c:valAx>
      <c:valAx>
        <c:axId val="546879104"/>
        <c:scaling>
          <c:orientation val="minMax"/>
          <c:max val="1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68712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0.17883971400126705"/>
          <c:w val="0.82189778361038213"/>
          <c:h val="0.68768488497761304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Plots!$E$10:$E$30</c:f>
              <c:numCache>
                <c:formatCode>0.0000</c:formatCode>
                <c:ptCount val="21"/>
                <c:pt idx="0">
                  <c:v>1.1343587967741138E-2</c:v>
                </c:pt>
                <c:pt idx="1">
                  <c:v>1.2962957119726727E-2</c:v>
                </c:pt>
                <c:pt idx="2">
                  <c:v>1.5443355159567587E-2</c:v>
                </c:pt>
                <c:pt idx="3">
                  <c:v>1.8671504965979545E-2</c:v>
                </c:pt>
                <c:pt idx="4">
                  <c:v>2.2239547916810515E-2</c:v>
                </c:pt>
                <c:pt idx="5">
                  <c:v>2.5822397267756592E-2</c:v>
                </c:pt>
                <c:pt idx="6">
                  <c:v>2.9285056451332683E-2</c:v>
                </c:pt>
                <c:pt idx="7">
                  <c:v>3.259250970922075E-2</c:v>
                </c:pt>
                <c:pt idx="8">
                  <c:v>3.5745915070545253E-2</c:v>
                </c:pt>
                <c:pt idx="9">
                  <c:v>3.8756364814583007E-2</c:v>
                </c:pt>
                <c:pt idx="10">
                  <c:v>4.1636363078000879E-2</c:v>
                </c:pt>
                <c:pt idx="11">
                  <c:v>4.4399673508955559E-2</c:v>
                </c:pt>
                <c:pt idx="12">
                  <c:v>4.0925874047678119E-2</c:v>
                </c:pt>
                <c:pt idx="13">
                  <c:v>3.3257332494720446E-2</c:v>
                </c:pt>
                <c:pt idx="14">
                  <c:v>3.4892742249052706E-2</c:v>
                </c:pt>
                <c:pt idx="15">
                  <c:v>3.6507983148779788E-2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BB-4CBA-ACC9-354311079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2384"/>
        <c:axId val="54687462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EOS'!$T$10:$T$109</c:f>
              <c:numCache>
                <c:formatCode>0.00000</c:formatCode>
                <c:ptCount val="100"/>
                <c:pt idx="0">
                  <c:v>1.3713236640530757E-2</c:v>
                </c:pt>
                <c:pt idx="1">
                  <c:v>1.379369100535913E-2</c:v>
                </c:pt>
                <c:pt idx="2">
                  <c:v>1.3890814736815546E-2</c:v>
                </c:pt>
                <c:pt idx="3">
                  <c:v>1.4001594755235642E-2</c:v>
                </c:pt>
                <c:pt idx="4">
                  <c:v>1.4124522684196715E-2</c:v>
                </c:pt>
                <c:pt idx="5">
                  <c:v>1.4258709958150272E-2</c:v>
                </c:pt>
                <c:pt idx="6">
                  <c:v>1.4403539031680504E-2</c:v>
                </c:pt>
                <c:pt idx="7">
                  <c:v>1.4558587955862094E-2</c:v>
                </c:pt>
                <c:pt idx="8">
                  <c:v>1.4723497575011591E-2</c:v>
                </c:pt>
                <c:pt idx="9">
                  <c:v>1.4897983275331685E-2</c:v>
                </c:pt>
                <c:pt idx="10">
                  <c:v>1.5081792766718375E-2</c:v>
                </c:pt>
                <c:pt idx="11">
                  <c:v>1.5274640278864372E-2</c:v>
                </c:pt>
                <c:pt idx="12">
                  <c:v>1.5476327398713907E-2</c:v>
                </c:pt>
                <c:pt idx="13">
                  <c:v>1.5686613480700388E-2</c:v>
                </c:pt>
                <c:pt idx="14">
                  <c:v>1.5905175436908957E-2</c:v>
                </c:pt>
                <c:pt idx="15">
                  <c:v>1.6131796780321228E-2</c:v>
                </c:pt>
                <c:pt idx="16">
                  <c:v>1.6366226784346707E-2</c:v>
                </c:pt>
                <c:pt idx="17">
                  <c:v>1.6608112213924414E-2</c:v>
                </c:pt>
                <c:pt idx="18">
                  <c:v>1.6857159057649059E-2</c:v>
                </c:pt>
                <c:pt idx="19">
                  <c:v>1.7113118825496536E-2</c:v>
                </c:pt>
                <c:pt idx="20">
                  <c:v>1.7375629289568262E-2</c:v>
                </c:pt>
                <c:pt idx="21">
                  <c:v>1.7644365688576063E-2</c:v>
                </c:pt>
                <c:pt idx="22">
                  <c:v>1.7919065672240827E-2</c:v>
                </c:pt>
                <c:pt idx="23">
                  <c:v>1.8199327385647938E-2</c:v>
                </c:pt>
                <c:pt idx="24">
                  <c:v>1.8484885927308119E-2</c:v>
                </c:pt>
                <c:pt idx="25">
                  <c:v>1.8775406661792424E-2</c:v>
                </c:pt>
                <c:pt idx="26">
                  <c:v>1.9070460177113977E-2</c:v>
                </c:pt>
                <c:pt idx="27">
                  <c:v>1.9369988605982196E-2</c:v>
                </c:pt>
                <c:pt idx="28">
                  <c:v>1.9673482917231696E-2</c:v>
                </c:pt>
                <c:pt idx="29">
                  <c:v>1.9980612397682236E-2</c:v>
                </c:pt>
                <c:pt idx="30">
                  <c:v>2.0291400717739237E-2</c:v>
                </c:pt>
                <c:pt idx="31">
                  <c:v>2.0605217792256929E-2</c:v>
                </c:pt>
                <c:pt idx="32">
                  <c:v>2.0922012785925887E-2</c:v>
                </c:pt>
                <c:pt idx="33">
                  <c:v>2.1241526086870448E-2</c:v>
                </c:pt>
                <c:pt idx="34">
                  <c:v>2.1563370701233712E-2</c:v>
                </c:pt>
                <c:pt idx="35">
                  <c:v>2.1887590407662617E-2</c:v>
                </c:pt>
                <c:pt idx="36">
                  <c:v>2.2213682181823673E-2</c:v>
                </c:pt>
                <c:pt idx="37">
                  <c:v>2.2541748412303282E-2</c:v>
                </c:pt>
                <c:pt idx="38">
                  <c:v>2.2871297092260521E-2</c:v>
                </c:pt>
                <c:pt idx="39">
                  <c:v>2.3202321893809018E-2</c:v>
                </c:pt>
                <c:pt idx="40">
                  <c:v>2.3534505327454193E-2</c:v>
                </c:pt>
                <c:pt idx="41">
                  <c:v>2.3868080583067362E-2</c:v>
                </c:pt>
                <c:pt idx="42">
                  <c:v>2.4202397647807981E-2</c:v>
                </c:pt>
                <c:pt idx="43">
                  <c:v>2.4537543413159953E-2</c:v>
                </c:pt>
                <c:pt idx="44">
                  <c:v>2.487365344488127E-2</c:v>
                </c:pt>
                <c:pt idx="45">
                  <c:v>2.5210071518119253E-2</c:v>
                </c:pt>
                <c:pt idx="46">
                  <c:v>2.5547172347161147E-2</c:v>
                </c:pt>
                <c:pt idx="47">
                  <c:v>2.5884514343404361E-2</c:v>
                </c:pt>
                <c:pt idx="48">
                  <c:v>2.6222088507636698E-2</c:v>
                </c:pt>
                <c:pt idx="49">
                  <c:v>2.6559910803918441E-2</c:v>
                </c:pt>
                <c:pt idx="50">
                  <c:v>2.689778077937157E-2</c:v>
                </c:pt>
                <c:pt idx="51">
                  <c:v>2.723574598612032E-2</c:v>
                </c:pt>
                <c:pt idx="52">
                  <c:v>2.7573625412608927E-2</c:v>
                </c:pt>
                <c:pt idx="53">
                  <c:v>2.7911238756983356E-2</c:v>
                </c:pt>
                <c:pt idx="54">
                  <c:v>2.8248938466059078E-2</c:v>
                </c:pt>
                <c:pt idx="55">
                  <c:v>2.858603857841541E-2</c:v>
                </c:pt>
                <c:pt idx="56">
                  <c:v>2.8923195672602594E-2</c:v>
                </c:pt>
                <c:pt idx="57">
                  <c:v>2.9259719867287669E-2</c:v>
                </c:pt>
                <c:pt idx="58">
                  <c:v>2.9596033950975507E-2</c:v>
                </c:pt>
                <c:pt idx="59">
                  <c:v>2.9931722296240238E-2</c:v>
                </c:pt>
                <c:pt idx="60" formatCode="General">
                  <c:v>3.0266949943170102E-2</c:v>
                </c:pt>
                <c:pt idx="61" formatCode="General">
                  <c:v>3.0601906442050904E-2</c:v>
                </c:pt>
                <c:pt idx="62" formatCode="General">
                  <c:v>3.0935866959483933E-2</c:v>
                </c:pt>
                <c:pt idx="63" formatCode="General">
                  <c:v>3.1269654977029486E-2</c:v>
                </c:pt>
                <c:pt idx="64" formatCode="General">
                  <c:v>3.160254250234782E-2</c:v>
                </c:pt>
                <c:pt idx="65" formatCode="General">
                  <c:v>3.1934746993368013E-2</c:v>
                </c:pt>
                <c:pt idx="66" formatCode="General">
                  <c:v>3.2266509526275251E-2</c:v>
                </c:pt>
                <c:pt idx="67" formatCode="General">
                  <c:v>3.2597413058620572E-2</c:v>
                </c:pt>
                <c:pt idx="68" formatCode="General">
                  <c:v>3.2927712077455977E-2</c:v>
                </c:pt>
                <c:pt idx="69" formatCode="General">
                  <c:v>3.3257332494720446E-2</c:v>
                </c:pt>
                <c:pt idx="70" formatCode="General">
                  <c:v>3.3585844599806722E-2</c:v>
                </c:pt>
                <c:pt idx="71" formatCode="General">
                  <c:v>3.3913884794211126E-2</c:v>
                </c:pt>
                <c:pt idx="72" formatCode="General">
                  <c:v>3.4241030997605816E-2</c:v>
                </c:pt>
                <c:pt idx="73" formatCode="General">
                  <c:v>3.4567586124272569E-2</c:v>
                </c:pt>
                <c:pt idx="74" formatCode="General">
                  <c:v>3.4892742249052706E-2</c:v>
                </c:pt>
                <c:pt idx="75" formatCode="General">
                  <c:v>3.521756464267093E-2</c:v>
                </c:pt>
                <c:pt idx="76" formatCode="General">
                  <c:v>3.5541629966746174E-2</c:v>
                </c:pt>
                <c:pt idx="77" formatCode="General">
                  <c:v>3.5864495647410802E-2</c:v>
                </c:pt>
                <c:pt idx="78" formatCode="General">
                  <c:v>3.6186495283460351E-2</c:v>
                </c:pt>
                <c:pt idx="79" formatCode="General">
                  <c:v>3.6507983148779788E-2</c:v>
                </c:pt>
                <c:pt idx="80" formatCode="General">
                  <c:v>3.6828112337836491E-2</c:v>
                </c:pt>
                <c:pt idx="81" formatCode="General">
                  <c:v>3.7147646008904481E-2</c:v>
                </c:pt>
                <c:pt idx="82" formatCode="General">
                  <c:v>3.7466136462504414E-2</c:v>
                </c:pt>
                <c:pt idx="83" formatCode="General">
                  <c:v>3.778396049752062E-2</c:v>
                </c:pt>
                <c:pt idx="84" formatCode="General">
                  <c:v>3.8100662539100071E-2</c:v>
                </c:pt>
                <c:pt idx="85" formatCode="General">
                  <c:v>3.8416630269215407E-2</c:v>
                </c:pt>
                <c:pt idx="86" formatCode="General">
                  <c:v>3.8731400413800854E-2</c:v>
                </c:pt>
                <c:pt idx="87" formatCode="General">
                  <c:v>3.9045371325728384E-2</c:v>
                </c:pt>
                <c:pt idx="88" formatCode="General">
                  <c:v>3.9358516084112644E-2</c:v>
                </c:pt>
                <c:pt idx="89" formatCode="General">
                  <c:v>3.9670808378369955E-2</c:v>
                </c:pt>
                <c:pt idx="90" formatCode="General">
                  <c:v>3.9982222501114509E-2</c:v>
                </c:pt>
                <c:pt idx="91" formatCode="General">
                  <c:v>4.0292276448428289E-2</c:v>
                </c:pt>
                <c:pt idx="92" formatCode="General">
                  <c:v>4.0601855233946674E-2</c:v>
                </c:pt>
                <c:pt idx="93" formatCode="General">
                  <c:v>4.0910482320043878E-2</c:v>
                </c:pt>
                <c:pt idx="94" formatCode="General">
                  <c:v>4.1218134341738162E-2</c:v>
                </c:pt>
                <c:pt idx="95" formatCode="General">
                  <c:v>4.1524788501980846E-2</c:v>
                </c:pt>
                <c:pt idx="96" formatCode="General">
                  <c:v>4.1830422564656869E-2</c:v>
                </c:pt>
                <c:pt idx="97" formatCode="General">
                  <c:v>4.2135014847601258E-2</c:v>
                </c:pt>
                <c:pt idx="98" formatCode="General">
                  <c:v>4.2439029883499013E-2</c:v>
                </c:pt>
                <c:pt idx="99" formatCode="General">
                  <c:v>4.2741969271080683E-2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BB-4CBA-ACC9-354311079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83584"/>
        <c:axId val="546874064"/>
      </c:scatterChart>
      <c:valAx>
        <c:axId val="546872384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4624"/>
        <c:crossesAt val="0"/>
        <c:crossBetween val="midCat"/>
      </c:valAx>
      <c:valAx>
        <c:axId val="546874624"/>
        <c:scaling>
          <c:orientation val="minMax"/>
          <c:max val="4.2741969271080683E-2"/>
          <c:min val="1.3713236640530757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2384"/>
        <c:crossesAt val="0"/>
        <c:crossBetween val="midCat"/>
      </c:valAx>
      <c:valAx>
        <c:axId val="546874064"/>
        <c:scaling>
          <c:orientation val="minMax"/>
          <c:max val="4.2741969271080683E-2"/>
          <c:min val="1.3713236640530757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6883584"/>
        <c:crosses val="max"/>
        <c:crossBetween val="midCat"/>
      </c:valAx>
      <c:valAx>
        <c:axId val="546883584"/>
        <c:scaling>
          <c:orientation val="minMax"/>
          <c:max val="1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68740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0.17883971400126705"/>
          <c:w val="0.82479130212890051"/>
          <c:h val="0.69748880654624068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Plots!$F$10:$F$30</c:f>
              <c:numCache>
                <c:formatCode>0.0000</c:formatCode>
                <c:ptCount val="21"/>
                <c:pt idx="0">
                  <c:v>2.6257758799999999E-2</c:v>
                </c:pt>
                <c:pt idx="1">
                  <c:v>1.1743956639999999E-2</c:v>
                </c:pt>
                <c:pt idx="2">
                  <c:v>7.1797401866666669E-3</c:v>
                </c:pt>
                <c:pt idx="3">
                  <c:v>5.1771623799999993E-3</c:v>
                </c:pt>
                <c:pt idx="4">
                  <c:v>4.1663350560000008E-3</c:v>
                </c:pt>
                <c:pt idx="5">
                  <c:v>3.59040968E-3</c:v>
                </c:pt>
                <c:pt idx="6">
                  <c:v>3.2249903771428574E-3</c:v>
                </c:pt>
                <c:pt idx="7">
                  <c:v>2.9728527399999999E-3</c:v>
                </c:pt>
                <c:pt idx="8">
                  <c:v>2.7876682311111104E-3</c:v>
                </c:pt>
                <c:pt idx="9">
                  <c:v>2.6452009999999998E-3</c:v>
                </c:pt>
                <c:pt idx="10">
                  <c:v>2.531687127272727E-3</c:v>
                </c:pt>
                <c:pt idx="11">
                  <c:v>2.4386864666666665E-3</c:v>
                </c:pt>
                <c:pt idx="12">
                  <c:v>2.5524788800000003E-3</c:v>
                </c:pt>
                <c:pt idx="13">
                  <c:v>3.0432461600000005E-3</c:v>
                </c:pt>
                <c:pt idx="14">
                  <c:v>2.9240103359999998E-3</c:v>
                </c:pt>
                <c:pt idx="15">
                  <c:v>2.8210501249999998E-3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3-4B6D-9E05-DC94344C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77984"/>
        <c:axId val="54687630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EOS'!$R$10:$R$109</c:f>
              <c:numCache>
                <c:formatCode>0.00000</c:formatCode>
                <c:ptCount val="100"/>
                <c:pt idx="0">
                  <c:v>0.19076384760000001</c:v>
                </c:pt>
                <c:pt idx="1">
                  <c:v>9.4575600199999985E-2</c:v>
                </c:pt>
                <c:pt idx="2">
                  <c:v>6.2535302399999992E-2</c:v>
                </c:pt>
                <c:pt idx="3">
                  <c:v>4.6532473099999992E-2</c:v>
                </c:pt>
                <c:pt idx="4">
                  <c:v>3.6945400959999999E-2</c:v>
                </c:pt>
                <c:pt idx="5">
                  <c:v>3.0565886666666663E-2</c:v>
                </c:pt>
                <c:pt idx="6">
                  <c:v>2.6020087314285716E-2</c:v>
                </c:pt>
                <c:pt idx="7">
                  <c:v>2.2620119250000001E-2</c:v>
                </c:pt>
                <c:pt idx="8">
                  <c:v>1.9984466355555553E-2</c:v>
                </c:pt>
                <c:pt idx="9">
                  <c:v>1.7883834080000001E-2</c:v>
                </c:pt>
                <c:pt idx="10">
                  <c:v>1.6172307709090911E-2</c:v>
                </c:pt>
                <c:pt idx="11">
                  <c:v>1.47529315E-2</c:v>
                </c:pt>
                <c:pt idx="12">
                  <c:v>1.3557990123076923E-2</c:v>
                </c:pt>
                <c:pt idx="13">
                  <c:v>1.2539390400000001E-2</c:v>
                </c:pt>
                <c:pt idx="14">
                  <c:v>1.1662120586666666E-2</c:v>
                </c:pt>
                <c:pt idx="15">
                  <c:v>1.0899440775E-2</c:v>
                </c:pt>
                <c:pt idx="16">
                  <c:v>1.0231015999999999E-2</c:v>
                </c:pt>
                <c:pt idx="17">
                  <c:v>9.6412439999999985E-3</c:v>
                </c:pt>
                <c:pt idx="18">
                  <c:v>9.1176046315789468E-3</c:v>
                </c:pt>
                <c:pt idx="19">
                  <c:v>8.6499855600000002E-3</c:v>
                </c:pt>
                <c:pt idx="20">
                  <c:v>8.230383885714284E-3</c:v>
                </c:pt>
                <c:pt idx="21">
                  <c:v>7.8521643090909091E-3</c:v>
                </c:pt>
                <c:pt idx="22">
                  <c:v>7.5097618260869569E-3</c:v>
                </c:pt>
                <c:pt idx="23">
                  <c:v>7.1986993000000008E-3</c:v>
                </c:pt>
                <c:pt idx="24">
                  <c:v>6.9150619840000005E-3</c:v>
                </c:pt>
                <c:pt idx="25">
                  <c:v>6.6556114153846152E-3</c:v>
                </c:pt>
                <c:pt idx="26">
                  <c:v>6.4176601777777781E-3</c:v>
                </c:pt>
                <c:pt idx="27">
                  <c:v>6.1986298571428582E-3</c:v>
                </c:pt>
                <c:pt idx="28">
                  <c:v>5.9966294758620692E-3</c:v>
                </c:pt>
                <c:pt idx="29">
                  <c:v>5.8098918933333328E-3</c:v>
                </c:pt>
                <c:pt idx="30">
                  <c:v>5.636691754838709E-3</c:v>
                </c:pt>
                <c:pt idx="31">
                  <c:v>5.4758802000000007E-3</c:v>
                </c:pt>
                <c:pt idx="32">
                  <c:v>5.3261560484848492E-3</c:v>
                </c:pt>
                <c:pt idx="33">
                  <c:v>5.1864844E-3</c:v>
                </c:pt>
                <c:pt idx="34">
                  <c:v>5.0560036114285709E-3</c:v>
                </c:pt>
                <c:pt idx="35">
                  <c:v>4.9337874111111115E-3</c:v>
                </c:pt>
                <c:pt idx="36">
                  <c:v>4.8192177081081075E-3</c:v>
                </c:pt>
                <c:pt idx="37">
                  <c:v>4.7115389052631573E-3</c:v>
                </c:pt>
                <c:pt idx="38">
                  <c:v>4.610270276923077E-3</c:v>
                </c:pt>
                <c:pt idx="39">
                  <c:v>4.5148348399999998E-3</c:v>
                </c:pt>
                <c:pt idx="40">
                  <c:v>4.4248057756097556E-3</c:v>
                </c:pt>
                <c:pt idx="41">
                  <c:v>4.3396594571428575E-3</c:v>
                </c:pt>
                <c:pt idx="42">
                  <c:v>4.2591447348837201E-3</c:v>
                </c:pt>
                <c:pt idx="43">
                  <c:v>4.1828583454545445E-3</c:v>
                </c:pt>
                <c:pt idx="44">
                  <c:v>4.110432871111111E-3</c:v>
                </c:pt>
                <c:pt idx="45">
                  <c:v>4.0417001826086952E-3</c:v>
                </c:pt>
                <c:pt idx="46">
                  <c:v>3.9763017361702123E-3</c:v>
                </c:pt>
                <c:pt idx="47">
                  <c:v>3.9140692333333336E-3</c:v>
                </c:pt>
                <c:pt idx="48">
                  <c:v>3.8547695673469386E-3</c:v>
                </c:pt>
                <c:pt idx="49">
                  <c:v>3.7981882799999994E-3</c:v>
                </c:pt>
                <c:pt idx="50">
                  <c:v>3.7441654666666665E-3</c:v>
                </c:pt>
                <c:pt idx="51">
                  <c:v>3.6925165153846155E-3</c:v>
                </c:pt>
                <c:pt idx="52">
                  <c:v>3.6431070566037733E-3</c:v>
                </c:pt>
                <c:pt idx="53">
                  <c:v>3.5958126740740742E-3</c:v>
                </c:pt>
                <c:pt idx="54">
                  <c:v>3.5504480218181813E-3</c:v>
                </c:pt>
                <c:pt idx="55">
                  <c:v>3.5069784499999995E-3</c:v>
                </c:pt>
                <c:pt idx="56">
                  <c:v>3.4652029333333335E-3</c:v>
                </c:pt>
                <c:pt idx="57">
                  <c:v>3.4251002068965515E-3</c:v>
                </c:pt>
                <c:pt idx="58">
                  <c:v>3.386519979661017E-3</c:v>
                </c:pt>
                <c:pt idx="59">
                  <c:v>3.3494181999999999E-3</c:v>
                </c:pt>
                <c:pt idx="60" formatCode="General">
                  <c:v>3.3136906098360655E-3</c:v>
                </c:pt>
                <c:pt idx="61" formatCode="General">
                  <c:v>3.2792396774193548E-3</c:v>
                </c:pt>
                <c:pt idx="62" formatCode="General">
                  <c:v>3.2460657015873019E-3</c:v>
                </c:pt>
                <c:pt idx="63" formatCode="General">
                  <c:v>3.2140186187499991E-3</c:v>
                </c:pt>
                <c:pt idx="64" formatCode="General">
                  <c:v>3.183105630769231E-3</c:v>
                </c:pt>
                <c:pt idx="65" formatCode="General">
                  <c:v>3.1532460303030302E-3</c:v>
                </c:pt>
                <c:pt idx="66" formatCode="General">
                  <c:v>3.1243639283582087E-3</c:v>
                </c:pt>
                <c:pt idx="67" formatCode="General">
                  <c:v>3.0964445E-3</c:v>
                </c:pt>
                <c:pt idx="68" formatCode="General">
                  <c:v>3.069418E-3</c:v>
                </c:pt>
                <c:pt idx="69" formatCode="General">
                  <c:v>3.0432461600000005E-3</c:v>
                </c:pt>
                <c:pt idx="70" formatCode="General">
                  <c:v>3.0179199718309859E-3</c:v>
                </c:pt>
                <c:pt idx="71" formatCode="General">
                  <c:v>2.9933507444444437E-3</c:v>
                </c:pt>
                <c:pt idx="72" formatCode="General">
                  <c:v>2.9695337315068489E-3</c:v>
                </c:pt>
                <c:pt idx="73" formatCode="General">
                  <c:v>2.9464124324324326E-3</c:v>
                </c:pt>
                <c:pt idx="74" formatCode="General">
                  <c:v>2.9240103359999998E-3</c:v>
                </c:pt>
                <c:pt idx="75" formatCode="General">
                  <c:v>2.9022230894736839E-3</c:v>
                </c:pt>
                <c:pt idx="76" formatCode="General">
                  <c:v>2.88105172987013E-3</c:v>
                </c:pt>
                <c:pt idx="77" formatCode="General">
                  <c:v>2.8604972410256405E-3</c:v>
                </c:pt>
                <c:pt idx="78" formatCode="General">
                  <c:v>2.8405118379746831E-3</c:v>
                </c:pt>
                <c:pt idx="79" formatCode="General">
                  <c:v>2.8210501249999998E-3</c:v>
                </c:pt>
                <c:pt idx="80" formatCode="General">
                  <c:v>2.8021402222222227E-3</c:v>
                </c:pt>
                <c:pt idx="81" formatCode="General">
                  <c:v>2.7837150048780489E-3</c:v>
                </c:pt>
                <c:pt idx="82" formatCode="General">
                  <c:v>2.7657801397590357E-3</c:v>
                </c:pt>
                <c:pt idx="83" formatCode="General">
                  <c:v>2.7482952047619045E-3</c:v>
                </c:pt>
                <c:pt idx="84" formatCode="General">
                  <c:v>2.7312669600000001E-3</c:v>
                </c:pt>
                <c:pt idx="85" formatCode="General">
                  <c:v>2.7146570976744186E-3</c:v>
                </c:pt>
                <c:pt idx="86" formatCode="General">
                  <c:v>2.6984733103448278E-3</c:v>
                </c:pt>
                <c:pt idx="87" formatCode="General">
                  <c:v>2.6826792045454542E-3</c:v>
                </c:pt>
                <c:pt idx="88" formatCode="General">
                  <c:v>2.6672616449438199E-3</c:v>
                </c:pt>
                <c:pt idx="89" formatCode="General">
                  <c:v>2.6522080800000002E-3</c:v>
                </c:pt>
                <c:pt idx="90" formatCode="General">
                  <c:v>2.6375065098901097E-3</c:v>
                </c:pt>
                <c:pt idx="91" formatCode="General">
                  <c:v>2.6231663739130434E-3</c:v>
                </c:pt>
                <c:pt idx="92" formatCode="General">
                  <c:v>2.6091346279569893E-3</c:v>
                </c:pt>
                <c:pt idx="93" formatCode="General">
                  <c:v>2.5954219021276596E-3</c:v>
                </c:pt>
                <c:pt idx="94" formatCode="General">
                  <c:v>2.5820181221052631E-3</c:v>
                </c:pt>
                <c:pt idx="95" formatCode="General">
                  <c:v>2.5689136333333332E-3</c:v>
                </c:pt>
                <c:pt idx="96" formatCode="General">
                  <c:v>2.5560991793814433E-3</c:v>
                </c:pt>
                <c:pt idx="97" formatCode="General">
                  <c:v>2.543565881632653E-3</c:v>
                </c:pt>
                <c:pt idx="98" formatCode="General">
                  <c:v>2.5312857818181817E-3</c:v>
                </c:pt>
                <c:pt idx="99" formatCode="General">
                  <c:v>2.5192705280000002E-3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63-4B6D-9E05-DC94344C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75152"/>
        <c:axId val="578774592"/>
      </c:scatterChart>
      <c:valAx>
        <c:axId val="546877984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6304"/>
        <c:crossesAt val="0"/>
        <c:crossBetween val="midCat"/>
      </c:valAx>
      <c:valAx>
        <c:axId val="546876304"/>
        <c:scaling>
          <c:orientation val="minMax"/>
          <c:max val="0.19076384760000001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6877984"/>
        <c:crossesAt val="0"/>
        <c:crossBetween val="midCat"/>
      </c:valAx>
      <c:valAx>
        <c:axId val="578774592"/>
        <c:scaling>
          <c:orientation val="minMax"/>
          <c:max val="0.19076384760000001"/>
          <c:min val="0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78775152"/>
        <c:crosses val="max"/>
        <c:crossBetween val="midCat"/>
      </c:valAx>
      <c:valAx>
        <c:axId val="578775152"/>
        <c:scaling>
          <c:orientation val="minMax"/>
          <c:max val="1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7877459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7883971400126705"/>
          <c:w val="0.84530568430719188"/>
          <c:h val="0.69748880654624068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Plots!$B$10:$B$30</c:f>
              <c:numCache>
                <c:formatCode>0.0</c:formatCode>
                <c:ptCount val="21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Plots!$G$10:$G$30</c:f>
              <c:numCache>
                <c:formatCode>0.000</c:formatCode>
                <c:ptCount val="21"/>
                <c:pt idx="0">
                  <c:v>1.9196315866513762</c:v>
                </c:pt>
                <c:pt idx="1">
                  <c:v>4.2920137337251907</c:v>
                </c:pt>
                <c:pt idx="2">
                  <c:v>7.0204801116284887</c:v>
                </c:pt>
                <c:pt idx="3">
                  <c:v>9.7360715170678382</c:v>
                </c:pt>
                <c:pt idx="4">
                  <c:v>12.098216420343784</c:v>
                </c:pt>
                <c:pt idx="5">
                  <c:v>14.03885006993217</c:v>
                </c:pt>
                <c:pt idx="6">
                  <c:v>15.629573205675444</c:v>
                </c:pt>
                <c:pt idx="7">
                  <c:v>16.955169863931147</c:v>
                </c:pt>
                <c:pt idx="8">
                  <c:v>18.081500023789626</c:v>
                </c:pt>
                <c:pt idx="9">
                  <c:v>19.055347093530184</c:v>
                </c:pt>
                <c:pt idx="10">
                  <c:v>19.909736335173619</c:v>
                </c:pt>
                <c:pt idx="11">
                  <c:v>20.669005169840396</c:v>
                </c:pt>
                <c:pt idx="12">
                  <c:v>19.747557396891423</c:v>
                </c:pt>
                <c:pt idx="13">
                  <c:v>16.562979311260559</c:v>
                </c:pt>
                <c:pt idx="14">
                  <c:v>17.238387486723692</c:v>
                </c:pt>
                <c:pt idx="15">
                  <c:v>17.867539020474915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FD-438D-BF47-2D7E20F5C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72912"/>
        <c:axId val="578774032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'Gas Properties PR EOS'!$B$10:$B$109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'Gas Properties PR EOS'!$S$10:$S$109</c:f>
              <c:numCache>
                <c:formatCode>0.00000</c:formatCode>
                <c:ptCount val="100"/>
                <c:pt idx="0">
                  <c:v>0.26422838405337945</c:v>
                </c:pt>
                <c:pt idx="1">
                  <c:v>0.53296223423970557</c:v>
                </c:pt>
                <c:pt idx="2">
                  <c:v>0.80602829526179987</c:v>
                </c:pt>
                <c:pt idx="3">
                  <c:v>1.0832268269694254</c:v>
                </c:pt>
                <c:pt idx="4">
                  <c:v>1.364316582779161</c:v>
                </c:pt>
                <c:pt idx="5">
                  <c:v>1.6490679212693042</c:v>
                </c:pt>
                <c:pt idx="6">
                  <c:v>1.9371657972676881</c:v>
                </c:pt>
                <c:pt idx="7">
                  <c:v>2.228335873479232</c:v>
                </c:pt>
                <c:pt idx="8">
                  <c:v>2.5222201228876355</c:v>
                </c:pt>
                <c:pt idx="9">
                  <c:v>2.8184796929827667</c:v>
                </c:pt>
                <c:pt idx="10">
                  <c:v>3.1167613239772174</c:v>
                </c:pt>
                <c:pt idx="11">
                  <c:v>3.4166242273376746</c:v>
                </c:pt>
                <c:pt idx="12">
                  <c:v>3.7177503988116132</c:v>
                </c:pt>
                <c:pt idx="13">
                  <c:v>4.0197506879722908</c:v>
                </c:pt>
                <c:pt idx="14">
                  <c:v>4.3221318809532434</c:v>
                </c:pt>
                <c:pt idx="15">
                  <c:v>4.6245696662499771</c:v>
                </c:pt>
                <c:pt idx="16">
                  <c:v>4.9267074928973962</c:v>
                </c:pt>
                <c:pt idx="17">
                  <c:v>5.2280829307040815</c:v>
                </c:pt>
                <c:pt idx="18">
                  <c:v>5.528340526257737</c:v>
                </c:pt>
                <c:pt idx="19">
                  <c:v>5.8272031597649443</c:v>
                </c:pt>
                <c:pt idx="20">
                  <c:v>6.1242858033199319</c:v>
                </c:pt>
                <c:pt idx="21">
                  <c:v>6.4192776924950588</c:v>
                </c:pt>
                <c:pt idx="22">
                  <c:v>6.7119602930759434</c:v>
                </c:pt>
                <c:pt idx="23">
                  <c:v>7.0019903716707734</c:v>
                </c:pt>
                <c:pt idx="24">
                  <c:v>7.2891932572376401</c:v>
                </c:pt>
                <c:pt idx="25">
                  <c:v>7.5733422583295935</c:v>
                </c:pt>
                <c:pt idx="26">
                  <c:v>7.8541433779385308</c:v>
                </c:pt>
                <c:pt idx="27">
                  <c:v>8.1316717321118581</c:v>
                </c:pt>
                <c:pt idx="28">
                  <c:v>8.4055924065421657</c:v>
                </c:pt>
                <c:pt idx="29">
                  <c:v>8.6757592245376447</c:v>
                </c:pt>
                <c:pt idx="30">
                  <c:v>8.9423416038110908</c:v>
                </c:pt>
                <c:pt idx="31">
                  <c:v>9.2049536049296954</c:v>
                </c:pt>
                <c:pt idx="32">
                  <c:v>9.4637150560941787</c:v>
                </c:pt>
                <c:pt idx="33">
                  <c:v>9.7185722157292407</c:v>
                </c:pt>
                <c:pt idx="34">
                  <c:v>9.9693803764731026</c:v>
                </c:pt>
                <c:pt idx="35">
                  <c:v>10.216334630397395</c:v>
                </c:pt>
                <c:pt idx="36">
                  <c:v>10.459212727067449</c:v>
                </c:pt>
                <c:pt idx="37">
                  <c:v>10.698250444424128</c:v>
                </c:pt>
                <c:pt idx="38">
                  <c:v>10.933246894321757</c:v>
                </c:pt>
                <c:pt idx="39">
                  <c:v>11.164355945112078</c:v>
                </c:pt>
                <c:pt idx="40">
                  <c:v>11.391510891844083</c:v>
                </c:pt>
                <c:pt idx="41">
                  <c:v>11.615018110277921</c:v>
                </c:pt>
                <c:pt idx="42">
                  <c:v>11.834588004093563</c:v>
                </c:pt>
                <c:pt idx="43">
                  <c:v>12.050425576072353</c:v>
                </c:pt>
                <c:pt idx="44">
                  <c:v>12.262753040296667</c:v>
                </c:pt>
                <c:pt idx="45">
                  <c:v>12.471292008260576</c:v>
                </c:pt>
                <c:pt idx="46">
                  <c:v>12.676408012159834</c:v>
                </c:pt>
                <c:pt idx="47">
                  <c:v>12.877959019704566</c:v>
                </c:pt>
                <c:pt idx="48">
                  <c:v>13.076066495420829</c:v>
                </c:pt>
                <c:pt idx="49">
                  <c:v>13.270859544422883</c:v>
                </c:pt>
                <c:pt idx="50">
                  <c:v>13.462338573414492</c:v>
                </c:pt>
                <c:pt idx="51">
                  <c:v>13.650642584032667</c:v>
                </c:pt>
                <c:pt idx="52">
                  <c:v>13.835778747095777</c:v>
                </c:pt>
                <c:pt idx="53">
                  <c:v>14.017755582924671</c:v>
                </c:pt>
                <c:pt idx="54">
                  <c:v>14.196862727577876</c:v>
                </c:pt>
                <c:pt idx="55">
                  <c:v>14.372835164457069</c:v>
                </c:pt>
                <c:pt idx="56">
                  <c:v>14.546110042295881</c:v>
                </c:pt>
                <c:pt idx="57">
                  <c:v>14.716422919732558</c:v>
                </c:pt>
                <c:pt idx="58">
                  <c:v>14.884076718838253</c:v>
                </c:pt>
                <c:pt idx="59">
                  <c:v>15.048948855402156</c:v>
                </c:pt>
                <c:pt idx="60" formatCode="General">
                  <c:v>15.21120379722076</c:v>
                </c:pt>
                <c:pt idx="61" formatCode="General">
                  <c:v>15.371009180646491</c:v>
                </c:pt>
                <c:pt idx="62" formatCode="General">
                  <c:v>15.528097032202819</c:v>
                </c:pt>
                <c:pt idx="63" formatCode="General">
                  <c:v>15.682928186258238</c:v>
                </c:pt>
                <c:pt idx="64" formatCode="General">
                  <c:v>15.8352342127497</c:v>
                </c:pt>
                <c:pt idx="65" formatCode="General">
                  <c:v>15.985185647663892</c:v>
                </c:pt>
                <c:pt idx="66" formatCode="General">
                  <c:v>16.13295516877897</c:v>
                </c:pt>
                <c:pt idx="67" formatCode="General">
                  <c:v>16.27841971240019</c:v>
                </c:pt>
                <c:pt idx="68" formatCode="General">
                  <c:v>16.421752653810312</c:v>
                </c:pt>
                <c:pt idx="69" formatCode="General">
                  <c:v>16.562979311260559</c:v>
                </c:pt>
                <c:pt idx="70" formatCode="General">
                  <c:v>16.701974756663962</c:v>
                </c:pt>
                <c:pt idx="71" formatCode="General">
                  <c:v>16.839063474503781</c:v>
                </c:pt>
                <c:pt idx="72" formatCode="General">
                  <c:v>16.97412043256222</c:v>
                </c:pt>
                <c:pt idx="73" formatCode="General">
                  <c:v>17.107320968483947</c:v>
                </c:pt>
                <c:pt idx="74" formatCode="General">
                  <c:v>17.238387486723692</c:v>
                </c:pt>
                <c:pt idx="75" formatCode="General">
                  <c:v>17.367797592808103</c:v>
                </c:pt>
                <c:pt idx="76" formatCode="General">
                  <c:v>17.495424557831623</c:v>
                </c:pt>
                <c:pt idx="77" formatCode="General">
                  <c:v>17.621140291357239</c:v>
                </c:pt>
                <c:pt idx="78" formatCode="General">
                  <c:v>17.74511991581511</c:v>
                </c:pt>
                <c:pt idx="79" formatCode="General">
                  <c:v>17.867539020474915</c:v>
                </c:pt>
                <c:pt idx="80" formatCode="General">
                  <c:v>17.988115936317971</c:v>
                </c:pt>
                <c:pt idx="81" formatCode="General">
                  <c:v>18.107178033248893</c:v>
                </c:pt>
                <c:pt idx="82" formatCode="General">
                  <c:v>18.224595101599295</c:v>
                </c:pt>
                <c:pt idx="83" formatCode="General">
                  <c:v>18.340541838379384</c:v>
                </c:pt>
                <c:pt idx="84" formatCode="General">
                  <c:v>18.45488702691777</c:v>
                </c:pt>
                <c:pt idx="85" formatCode="General">
                  <c:v>18.567804836321347</c:v>
                </c:pt>
                <c:pt idx="86" formatCode="General">
                  <c:v>18.6791631378826</c:v>
                </c:pt>
                <c:pt idx="87" formatCode="General">
                  <c:v>18.789135540972616</c:v>
                </c:pt>
                <c:pt idx="88" formatCode="General">
                  <c:v>18.897742290376168</c:v>
                </c:pt>
                <c:pt idx="89" formatCode="General">
                  <c:v>19.005003252668295</c:v>
                </c:pt>
                <c:pt idx="90" formatCode="General">
                  <c:v>19.110937924946867</c:v>
                </c:pt>
                <c:pt idx="91" formatCode="General">
                  <c:v>19.215412216481873</c:v>
                </c:pt>
                <c:pt idx="92" formatCode="General">
                  <c:v>19.318751377203395</c:v>
                </c:pt>
                <c:pt idx="93" formatCode="General">
                  <c:v>19.420820617192238</c:v>
                </c:pt>
                <c:pt idx="94" formatCode="General">
                  <c:v>19.521638037944893</c:v>
                </c:pt>
                <c:pt idx="95" formatCode="General">
                  <c:v>19.621221411694201</c:v>
                </c:pt>
                <c:pt idx="96" formatCode="General">
                  <c:v>19.719588188808395</c:v>
                </c:pt>
                <c:pt idx="97" formatCode="General">
                  <c:v>19.816755504991779</c:v>
                </c:pt>
                <c:pt idx="98" formatCode="General">
                  <c:v>19.912893103262281</c:v>
                </c:pt>
                <c:pt idx="99" formatCode="General">
                  <c:v>20.007864430172518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FD-438D-BF47-2D7E20F5C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72352"/>
        <c:axId val="578771792"/>
      </c:scatterChart>
      <c:valAx>
        <c:axId val="578772912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s-BO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78774032"/>
        <c:crossesAt val="0"/>
        <c:crossBetween val="midCat"/>
      </c:valAx>
      <c:valAx>
        <c:axId val="578774032"/>
        <c:scaling>
          <c:orientation val="minMax"/>
          <c:max val="20.007864430172518"/>
          <c:min val="0.26422838405337945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78772912"/>
        <c:crossesAt val="0"/>
        <c:crossBetween val="midCat"/>
      </c:valAx>
      <c:valAx>
        <c:axId val="578771792"/>
        <c:scaling>
          <c:orientation val="minMax"/>
          <c:max val="20.007864430172518"/>
          <c:min val="0.26422838405337945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78772352"/>
        <c:crosses val="max"/>
        <c:crossBetween val="midCat"/>
      </c:valAx>
      <c:valAx>
        <c:axId val="578772352"/>
        <c:scaling>
          <c:orientation val="minMax"/>
          <c:max val="1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7877179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P'</a:t>
            </a:r>
            <a:r>
              <a:rPr lang="es-BO" baseline="-25000"/>
              <a:t>pc</a:t>
            </a:r>
            <a:r>
              <a:rPr lang="es-BO"/>
              <a:t>, psi</a:t>
            </a:r>
          </a:p>
        </c:rich>
      </c:tx>
      <c:layout>
        <c:manualLayout>
          <c:xMode val="edge"/>
          <c:yMode val="edge"/>
          <c:x val="0.82616120279215366"/>
          <c:y val="2.93212830440393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SGg'!$AB$25:$AB$35</c:f>
              <c:numCache>
                <c:formatCode>0.0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3-4ECB-B09A-9B480B027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70672"/>
        <c:axId val="578776272"/>
      </c:scatterChart>
      <c:scatterChart>
        <c:scatterStyle val="smoothMarker"/>
        <c:varyColors val="0"/>
        <c:ser>
          <c:idx val="3"/>
          <c:order val="0"/>
          <c:tx>
            <c:strRef>
              <c:f>'Ppc-Tpc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SGg'!$AC$25:$AC$35</c:f>
              <c:numCache>
                <c:formatCode>0.0</c:formatCode>
                <c:ptCount val="11"/>
                <c:pt idx="0">
                  <c:v>690.4</c:v>
                </c:pt>
                <c:pt idx="1">
                  <c:v>683.66099999999994</c:v>
                </c:pt>
                <c:pt idx="2">
                  <c:v>676.904</c:v>
                </c:pt>
                <c:pt idx="3">
                  <c:v>670.12899999999991</c:v>
                </c:pt>
                <c:pt idx="4">
                  <c:v>663.33600000000001</c:v>
                </c:pt>
                <c:pt idx="5">
                  <c:v>656.52499999999998</c:v>
                </c:pt>
                <c:pt idx="6">
                  <c:v>649.69599999999991</c:v>
                </c:pt>
                <c:pt idx="7">
                  <c:v>642.84899999999993</c:v>
                </c:pt>
                <c:pt idx="8">
                  <c:v>635.98399999999992</c:v>
                </c:pt>
                <c:pt idx="9">
                  <c:v>629.101</c:v>
                </c:pt>
                <c:pt idx="10">
                  <c:v>622.19999999999993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3-4ECB-B09A-9B480B027730}"/>
            </c:ext>
          </c:extLst>
        </c:ser>
        <c:ser>
          <c:idx val="1"/>
          <c:order val="2"/>
          <c:tx>
            <c:strRef>
              <c:f>'Ppc-Tpc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SGg'!$AD$25:$AD$35</c:f>
              <c:numCache>
                <c:formatCode>0.0</c:formatCode>
                <c:ptCount val="11"/>
                <c:pt idx="0">
                  <c:v>678</c:v>
                </c:pt>
                <c:pt idx="1">
                  <c:v>675.5</c:v>
                </c:pt>
                <c:pt idx="2">
                  <c:v>673</c:v>
                </c:pt>
                <c:pt idx="3">
                  <c:v>670.5</c:v>
                </c:pt>
                <c:pt idx="4">
                  <c:v>668</c:v>
                </c:pt>
                <c:pt idx="5">
                  <c:v>665.5</c:v>
                </c:pt>
                <c:pt idx="6">
                  <c:v>663</c:v>
                </c:pt>
                <c:pt idx="7">
                  <c:v>660.5</c:v>
                </c:pt>
                <c:pt idx="8">
                  <c:v>658</c:v>
                </c:pt>
                <c:pt idx="9">
                  <c:v>655.5</c:v>
                </c:pt>
                <c:pt idx="10">
                  <c:v>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3-4ECB-B09A-9B480B027730}"/>
            </c:ext>
          </c:extLst>
        </c:ser>
        <c:ser>
          <c:idx val="0"/>
          <c:order val="3"/>
          <c:tx>
            <c:strRef>
              <c:f>'Ppc-Tpc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SGg'!$AE$25:$AE$35</c:f>
              <c:numCache>
                <c:formatCode>0.0</c:formatCode>
                <c:ptCount val="11"/>
                <c:pt idx="0">
                  <c:v>696.7188547768701</c:v>
                </c:pt>
                <c:pt idx="1">
                  <c:v>686.43561534899288</c:v>
                </c:pt>
                <c:pt idx="2">
                  <c:v>677.11754210612526</c:v>
                </c:pt>
                <c:pt idx="3">
                  <c:v>668.57328773148208</c:v>
                </c:pt>
                <c:pt idx="4">
                  <c:v>660.65697927418717</c:v>
                </c:pt>
                <c:pt idx="5">
                  <c:v>653.25542380590798</c:v>
                </c:pt>
                <c:pt idx="6">
                  <c:v>646.27940008514156</c:v>
                </c:pt>
                <c:pt idx="7">
                  <c:v>639.65759133704353</c:v>
                </c:pt>
                <c:pt idx="8">
                  <c:v>633.33226990381149</c:v>
                </c:pt>
                <c:pt idx="9">
                  <c:v>627.25617087835815</c:v>
                </c:pt>
                <c:pt idx="10">
                  <c:v>621.39018939451489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3-4ECB-B09A-9B480B027730}"/>
            </c:ext>
          </c:extLst>
        </c:ser>
        <c:ser>
          <c:idx val="2"/>
          <c:order val="4"/>
          <c:tx>
            <c:strRef>
              <c:f>'Ppc-Tpc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SGg'!$AF$25:$AF$35</c:f>
              <c:numCache>
                <c:formatCode>0.0</c:formatCode>
                <c:ptCount val="11"/>
                <c:pt idx="0">
                  <c:v>711.41099999999994</c:v>
                </c:pt>
                <c:pt idx="1">
                  <c:v>703.62840999999992</c:v>
                </c:pt>
                <c:pt idx="2">
                  <c:v>695.80624</c:v>
                </c:pt>
                <c:pt idx="3">
                  <c:v>687.94448999999997</c:v>
                </c:pt>
                <c:pt idx="4">
                  <c:v>680.04315999999994</c:v>
                </c:pt>
                <c:pt idx="5">
                  <c:v>672.10224999999991</c:v>
                </c:pt>
                <c:pt idx="6">
                  <c:v>664.12175999999988</c:v>
                </c:pt>
                <c:pt idx="7">
                  <c:v>656.10168999999996</c:v>
                </c:pt>
                <c:pt idx="8">
                  <c:v>648.04203999999993</c:v>
                </c:pt>
                <c:pt idx="9">
                  <c:v>639.94280999999989</c:v>
                </c:pt>
                <c:pt idx="10">
                  <c:v>631.80399999999997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3-4ECB-B09A-9B480B027730}"/>
            </c:ext>
          </c:extLst>
        </c:ser>
        <c:ser>
          <c:idx val="5"/>
          <c:order val="5"/>
          <c:tx>
            <c:strRef>
              <c:f>'Ppc-Tpc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SGg'!$AG$25:$AG$35</c:f>
              <c:numCache>
                <c:formatCode>0.0</c:formatCode>
                <c:ptCount val="11"/>
                <c:pt idx="0">
                  <c:v>680.245</c:v>
                </c:pt>
                <c:pt idx="1">
                  <c:v>677.30910000000006</c:v>
                </c:pt>
                <c:pt idx="2">
                  <c:v>674.3732</c:v>
                </c:pt>
                <c:pt idx="3">
                  <c:v>671.43730000000005</c:v>
                </c:pt>
                <c:pt idx="4">
                  <c:v>668.50139999999999</c:v>
                </c:pt>
                <c:pt idx="5">
                  <c:v>665.56550000000016</c:v>
                </c:pt>
                <c:pt idx="6">
                  <c:v>662.62959999999998</c:v>
                </c:pt>
                <c:pt idx="7">
                  <c:v>659.69370000000004</c:v>
                </c:pt>
                <c:pt idx="8">
                  <c:v>656.75780000000009</c:v>
                </c:pt>
                <c:pt idx="9">
                  <c:v>653.82190000000003</c:v>
                </c:pt>
                <c:pt idx="10">
                  <c:v>650.88600000000008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03-4ECB-B09A-9B480B027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718288"/>
        <c:axId val="578771232"/>
      </c:scatterChart>
      <c:valAx>
        <c:axId val="578770672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578776272"/>
        <c:crossesAt val="0"/>
        <c:crossBetween val="midCat"/>
      </c:valAx>
      <c:valAx>
        <c:axId val="578776272"/>
        <c:scaling>
          <c:orientation val="minMax"/>
          <c:max val="740"/>
          <c:min val="62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578770672"/>
        <c:crossesAt val="0"/>
        <c:crossBetween val="midCat"/>
      </c:valAx>
      <c:valAx>
        <c:axId val="578771232"/>
        <c:scaling>
          <c:orientation val="minMax"/>
          <c:max val="740"/>
          <c:min val="62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710718288"/>
        <c:crosses val="max"/>
        <c:crossBetween val="midCat"/>
      </c:valAx>
      <c:valAx>
        <c:axId val="710718288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578771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T'</a:t>
            </a:r>
            <a:r>
              <a:rPr lang="es-BO" sz="1600" baseline="-25000">
                <a:latin typeface="Arial" panose="020B0604020202020204" pitchFamily="34" charset="0"/>
                <a:cs typeface="Arial" panose="020B0604020202020204" pitchFamily="34" charset="0"/>
              </a:rPr>
              <a:t>pc</a:t>
            </a: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, ºR</a:t>
            </a:r>
          </a:p>
        </c:rich>
      </c:tx>
      <c:layout>
        <c:manualLayout>
          <c:xMode val="edge"/>
          <c:yMode val="edge"/>
          <c:x val="0.81300825277336386"/>
          <c:y val="4.773766259986732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SGg'!$AH$25:$AH$35</c:f>
              <c:numCache>
                <c:formatCode>0.0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2-4880-93F3-DEABDE307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719968"/>
        <c:axId val="710725568"/>
      </c:scatterChart>
      <c:scatterChart>
        <c:scatterStyle val="smoothMarker"/>
        <c:varyColors val="0"/>
        <c:ser>
          <c:idx val="3"/>
          <c:order val="0"/>
          <c:tx>
            <c:strRef>
              <c:f>'Ppc-Tpc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SGg'!$AI$25:$AI$35</c:f>
              <c:numCache>
                <c:formatCode>0.0</c:formatCode>
                <c:ptCount val="11"/>
                <c:pt idx="0">
                  <c:v>325.45</c:v>
                </c:pt>
                <c:pt idx="1">
                  <c:v>339.04</c:v>
                </c:pt>
                <c:pt idx="2">
                  <c:v>352.26</c:v>
                </c:pt>
                <c:pt idx="3">
                  <c:v>365.11</c:v>
                </c:pt>
                <c:pt idx="4">
                  <c:v>377.59</c:v>
                </c:pt>
                <c:pt idx="5">
                  <c:v>389.7</c:v>
                </c:pt>
                <c:pt idx="6">
                  <c:v>401.44</c:v>
                </c:pt>
                <c:pt idx="7">
                  <c:v>412.81</c:v>
                </c:pt>
                <c:pt idx="8">
                  <c:v>423.81</c:v>
                </c:pt>
                <c:pt idx="9">
                  <c:v>434.44</c:v>
                </c:pt>
                <c:pt idx="10">
                  <c:v>444.7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92-4880-93F3-DEABDE307406}"/>
            </c:ext>
          </c:extLst>
        </c:ser>
        <c:ser>
          <c:idx val="1"/>
          <c:order val="2"/>
          <c:tx>
            <c:strRef>
              <c:f>'Ppc-Tpc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SGg'!$AJ$25:$AJ$35</c:f>
              <c:numCache>
                <c:formatCode>0.0</c:formatCode>
                <c:ptCount val="11"/>
                <c:pt idx="0">
                  <c:v>326</c:v>
                </c:pt>
                <c:pt idx="1">
                  <c:v>341.78500000000003</c:v>
                </c:pt>
                <c:pt idx="2">
                  <c:v>357.57</c:v>
                </c:pt>
                <c:pt idx="3">
                  <c:v>373.35500000000002</c:v>
                </c:pt>
                <c:pt idx="4">
                  <c:v>389.14</c:v>
                </c:pt>
                <c:pt idx="5">
                  <c:v>404.92500000000001</c:v>
                </c:pt>
                <c:pt idx="6">
                  <c:v>420.71000000000004</c:v>
                </c:pt>
                <c:pt idx="7">
                  <c:v>436.495</c:v>
                </c:pt>
                <c:pt idx="8">
                  <c:v>452.28000000000003</c:v>
                </c:pt>
                <c:pt idx="9">
                  <c:v>468.065</c:v>
                </c:pt>
                <c:pt idx="10">
                  <c:v>483.85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92-4880-93F3-DEABDE307406}"/>
            </c:ext>
          </c:extLst>
        </c:ser>
        <c:ser>
          <c:idx val="0"/>
          <c:order val="3"/>
          <c:tx>
            <c:strRef>
              <c:f>'Ppc-Tpc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SGg'!$AK$25:$AK$35</c:f>
              <c:numCache>
                <c:formatCode>0.0</c:formatCode>
                <c:ptCount val="11"/>
                <c:pt idx="0">
                  <c:v>309.77217615575921</c:v>
                </c:pt>
                <c:pt idx="1">
                  <c:v>325.89348211902416</c:v>
                </c:pt>
                <c:pt idx="2">
                  <c:v>341.54559070069604</c:v>
                </c:pt>
                <c:pt idx="3">
                  <c:v>356.7261479652272</c:v>
                </c:pt>
                <c:pt idx="4">
                  <c:v>371.43355608235521</c:v>
                </c:pt>
                <c:pt idx="5">
                  <c:v>385.66677319794064</c:v>
                </c:pt>
                <c:pt idx="6">
                  <c:v>399.42517616746875</c:v>
                </c:pt>
                <c:pt idx="7">
                  <c:v>412.70846438848969</c:v>
                </c:pt>
                <c:pt idx="8">
                  <c:v>425.51659118088003</c:v>
                </c:pt>
                <c:pt idx="9">
                  <c:v>437.84971404749916</c:v>
                </c:pt>
                <c:pt idx="10">
                  <c:v>449.70815813727256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92-4880-93F3-DEABDE307406}"/>
            </c:ext>
          </c:extLst>
        </c:ser>
        <c:ser>
          <c:idx val="2"/>
          <c:order val="4"/>
          <c:tx>
            <c:strRef>
              <c:f>'Ppc-Tpc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SGg'!$AL$25:$AL$35</c:f>
              <c:numCache>
                <c:formatCode>0.0</c:formatCode>
                <c:ptCount val="11"/>
                <c:pt idx="0">
                  <c:v>311.50599999999997</c:v>
                </c:pt>
                <c:pt idx="1">
                  <c:v>325.89676000000003</c:v>
                </c:pt>
                <c:pt idx="2">
                  <c:v>339.95263999999997</c:v>
                </c:pt>
                <c:pt idx="3">
                  <c:v>353.67363999999998</c:v>
                </c:pt>
                <c:pt idx="4">
                  <c:v>367.05975999999998</c:v>
                </c:pt>
                <c:pt idx="5">
                  <c:v>380.11099999999999</c:v>
                </c:pt>
                <c:pt idx="6">
                  <c:v>392.82736</c:v>
                </c:pt>
                <c:pt idx="7">
                  <c:v>405.20884000000001</c:v>
                </c:pt>
                <c:pt idx="8">
                  <c:v>417.25544000000002</c:v>
                </c:pt>
                <c:pt idx="9">
                  <c:v>428.96715999999998</c:v>
                </c:pt>
                <c:pt idx="10">
                  <c:v>440.34399999999999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92-4880-93F3-DEABDE307406}"/>
            </c:ext>
          </c:extLst>
        </c:ser>
        <c:ser>
          <c:idx val="5"/>
          <c:order val="5"/>
          <c:tx>
            <c:strRef>
              <c:f>'Ppc-Tpc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SGg'!$AA$25:$AA$35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SGg'!$AM$25:$AM$35</c:f>
              <c:numCache>
                <c:formatCode>0.0</c:formatCode>
                <c:ptCount val="11"/>
                <c:pt idx="0">
                  <c:v>324.16300000000001</c:v>
                </c:pt>
                <c:pt idx="1">
                  <c:v>339.53020000000004</c:v>
                </c:pt>
                <c:pt idx="2">
                  <c:v>354.8974</c:v>
                </c:pt>
                <c:pt idx="3">
                  <c:v>370.26460000000003</c:v>
                </c:pt>
                <c:pt idx="4">
                  <c:v>385.6318</c:v>
                </c:pt>
                <c:pt idx="5">
                  <c:v>400.99900000000002</c:v>
                </c:pt>
                <c:pt idx="6">
                  <c:v>416.36620000000005</c:v>
                </c:pt>
                <c:pt idx="7">
                  <c:v>431.73340000000002</c:v>
                </c:pt>
                <c:pt idx="8">
                  <c:v>447.10060000000004</c:v>
                </c:pt>
                <c:pt idx="9">
                  <c:v>462.46780000000001</c:v>
                </c:pt>
                <c:pt idx="10">
                  <c:v>477.83500000000004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092-4880-93F3-DEABDE307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726688"/>
        <c:axId val="710716608"/>
      </c:scatterChart>
      <c:valAx>
        <c:axId val="710719968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710725568"/>
        <c:crossesAt val="0"/>
        <c:crossBetween val="midCat"/>
      </c:valAx>
      <c:valAx>
        <c:axId val="710725568"/>
        <c:scaling>
          <c:orientation val="minMax"/>
          <c:max val="500"/>
          <c:min val="3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710719968"/>
        <c:crossesAt val="0"/>
        <c:crossBetween val="midCat"/>
      </c:valAx>
      <c:valAx>
        <c:axId val="710716608"/>
        <c:scaling>
          <c:orientation val="minMax"/>
          <c:max val="500"/>
          <c:min val="3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710726688"/>
        <c:crosses val="max"/>
        <c:crossBetween val="midCat"/>
      </c:valAx>
      <c:valAx>
        <c:axId val="710726688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710716608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BO"/>
              <a:t>P</a:t>
            </a:r>
            <a:r>
              <a:rPr lang="es-BO" baseline="-25000"/>
              <a:t>pc</a:t>
            </a:r>
            <a:r>
              <a:rPr lang="es-BO"/>
              <a:t>, psi</a:t>
            </a:r>
          </a:p>
        </c:rich>
      </c:tx>
      <c:layout>
        <c:manualLayout>
          <c:xMode val="edge"/>
          <c:yMode val="edge"/>
          <c:x val="0.82616120279215366"/>
          <c:y val="2.93212830440393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SGg'!$AB$10:$AB$20</c:f>
              <c:numCache>
                <c:formatCode>0.0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4-41B5-BA10-3ED72F81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650752"/>
        <c:axId val="532654112"/>
      </c:scatterChart>
      <c:scatterChart>
        <c:scatterStyle val="smoothMarker"/>
        <c:varyColors val="0"/>
        <c:ser>
          <c:idx val="3"/>
          <c:order val="0"/>
          <c:tx>
            <c:strRef>
              <c:f>'Ppc-Tpc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SGg'!$AC$10:$AC$20</c:f>
              <c:numCache>
                <c:formatCode>0.0</c:formatCode>
                <c:ptCount val="11"/>
                <c:pt idx="0">
                  <c:v>690.4</c:v>
                </c:pt>
                <c:pt idx="1">
                  <c:v>683.66099999999994</c:v>
                </c:pt>
                <c:pt idx="2">
                  <c:v>676.904</c:v>
                </c:pt>
                <c:pt idx="3">
                  <c:v>670.12899999999991</c:v>
                </c:pt>
                <c:pt idx="4">
                  <c:v>663.33600000000001</c:v>
                </c:pt>
                <c:pt idx="5">
                  <c:v>656.52499999999998</c:v>
                </c:pt>
                <c:pt idx="6">
                  <c:v>649.69599999999991</c:v>
                </c:pt>
                <c:pt idx="7">
                  <c:v>642.84899999999993</c:v>
                </c:pt>
                <c:pt idx="8">
                  <c:v>635.98399999999992</c:v>
                </c:pt>
                <c:pt idx="9">
                  <c:v>629.101</c:v>
                </c:pt>
                <c:pt idx="10">
                  <c:v>622.19999999999993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14-41B5-BA10-3ED72F81D6E9}"/>
            </c:ext>
          </c:extLst>
        </c:ser>
        <c:ser>
          <c:idx val="1"/>
          <c:order val="2"/>
          <c:tx>
            <c:strRef>
              <c:f>'Ppc-Tpc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SGg'!$AD$10:$AD$20</c:f>
              <c:numCache>
                <c:formatCode>0.0</c:formatCode>
                <c:ptCount val="11"/>
                <c:pt idx="0">
                  <c:v>678</c:v>
                </c:pt>
                <c:pt idx="1">
                  <c:v>675.5</c:v>
                </c:pt>
                <c:pt idx="2">
                  <c:v>673</c:v>
                </c:pt>
                <c:pt idx="3">
                  <c:v>670.5</c:v>
                </c:pt>
                <c:pt idx="4">
                  <c:v>668</c:v>
                </c:pt>
                <c:pt idx="5">
                  <c:v>665.5</c:v>
                </c:pt>
                <c:pt idx="6">
                  <c:v>663</c:v>
                </c:pt>
                <c:pt idx="7">
                  <c:v>660.5</c:v>
                </c:pt>
                <c:pt idx="8">
                  <c:v>658</c:v>
                </c:pt>
                <c:pt idx="9">
                  <c:v>655.5</c:v>
                </c:pt>
                <c:pt idx="10">
                  <c:v>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14-41B5-BA10-3ED72F81D6E9}"/>
            </c:ext>
          </c:extLst>
        </c:ser>
        <c:ser>
          <c:idx val="0"/>
          <c:order val="3"/>
          <c:tx>
            <c:strRef>
              <c:f>'Ppc-Tpc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SGg'!$AE$10:$AE$20</c:f>
              <c:numCache>
                <c:formatCode>0.0</c:formatCode>
                <c:ptCount val="11"/>
                <c:pt idx="0">
                  <c:v>696.7188547768701</c:v>
                </c:pt>
                <c:pt idx="1">
                  <c:v>686.43561534899288</c:v>
                </c:pt>
                <c:pt idx="2">
                  <c:v>677.11754210612526</c:v>
                </c:pt>
                <c:pt idx="3">
                  <c:v>668.57328773148208</c:v>
                </c:pt>
                <c:pt idx="4">
                  <c:v>660.65697927418717</c:v>
                </c:pt>
                <c:pt idx="5">
                  <c:v>653.25542380590798</c:v>
                </c:pt>
                <c:pt idx="6">
                  <c:v>646.27940008514156</c:v>
                </c:pt>
                <c:pt idx="7">
                  <c:v>639.65759133704353</c:v>
                </c:pt>
                <c:pt idx="8">
                  <c:v>633.33226990381149</c:v>
                </c:pt>
                <c:pt idx="9">
                  <c:v>627.25617087835815</c:v>
                </c:pt>
                <c:pt idx="10">
                  <c:v>621.39018939451489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14-41B5-BA10-3ED72F81D6E9}"/>
            </c:ext>
          </c:extLst>
        </c:ser>
        <c:ser>
          <c:idx val="2"/>
          <c:order val="4"/>
          <c:tx>
            <c:strRef>
              <c:f>'Ppc-Tpc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SGg'!$AF$10:$AF$20</c:f>
              <c:numCache>
                <c:formatCode>0.0</c:formatCode>
                <c:ptCount val="11"/>
                <c:pt idx="0">
                  <c:v>711.41099999999994</c:v>
                </c:pt>
                <c:pt idx="1">
                  <c:v>703.62840999999992</c:v>
                </c:pt>
                <c:pt idx="2">
                  <c:v>695.80624</c:v>
                </c:pt>
                <c:pt idx="3">
                  <c:v>687.94448999999997</c:v>
                </c:pt>
                <c:pt idx="4">
                  <c:v>680.04315999999994</c:v>
                </c:pt>
                <c:pt idx="5">
                  <c:v>672.10224999999991</c:v>
                </c:pt>
                <c:pt idx="6">
                  <c:v>664.12175999999988</c:v>
                </c:pt>
                <c:pt idx="7">
                  <c:v>656.10168999999996</c:v>
                </c:pt>
                <c:pt idx="8">
                  <c:v>648.04203999999993</c:v>
                </c:pt>
                <c:pt idx="9">
                  <c:v>639.94280999999989</c:v>
                </c:pt>
                <c:pt idx="10">
                  <c:v>631.80399999999997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14-41B5-BA10-3ED72F81D6E9}"/>
            </c:ext>
          </c:extLst>
        </c:ser>
        <c:ser>
          <c:idx val="5"/>
          <c:order val="5"/>
          <c:tx>
            <c:strRef>
              <c:f>'Ppc-Tpc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SGg'!$AG$10:$AG$20</c:f>
              <c:numCache>
                <c:formatCode>0.0</c:formatCode>
                <c:ptCount val="11"/>
                <c:pt idx="0">
                  <c:v>680.245</c:v>
                </c:pt>
                <c:pt idx="1">
                  <c:v>677.30910000000006</c:v>
                </c:pt>
                <c:pt idx="2">
                  <c:v>674.3732</c:v>
                </c:pt>
                <c:pt idx="3">
                  <c:v>671.43730000000005</c:v>
                </c:pt>
                <c:pt idx="4">
                  <c:v>668.50139999999999</c:v>
                </c:pt>
                <c:pt idx="5">
                  <c:v>665.56550000000004</c:v>
                </c:pt>
                <c:pt idx="6">
                  <c:v>662.62959999999998</c:v>
                </c:pt>
                <c:pt idx="7">
                  <c:v>659.69370000000004</c:v>
                </c:pt>
                <c:pt idx="8">
                  <c:v>656.75780000000009</c:v>
                </c:pt>
                <c:pt idx="9">
                  <c:v>653.82190000000003</c:v>
                </c:pt>
                <c:pt idx="10">
                  <c:v>650.88600000000008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D14-41B5-BA10-3ED72F81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655792"/>
        <c:axId val="532652432"/>
      </c:scatterChart>
      <c:valAx>
        <c:axId val="532650752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532654112"/>
        <c:crossesAt val="0"/>
        <c:crossBetween val="midCat"/>
      </c:valAx>
      <c:valAx>
        <c:axId val="532654112"/>
        <c:scaling>
          <c:orientation val="minMax"/>
          <c:max val="740"/>
          <c:min val="62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532650752"/>
        <c:crossesAt val="0"/>
        <c:crossBetween val="midCat"/>
      </c:valAx>
      <c:valAx>
        <c:axId val="532652432"/>
        <c:scaling>
          <c:orientation val="minMax"/>
          <c:max val="740"/>
          <c:min val="62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532655792"/>
        <c:crosses val="max"/>
        <c:crossBetween val="midCat"/>
      </c:valAx>
      <c:valAx>
        <c:axId val="532655792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5326524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T</a:t>
            </a:r>
            <a:r>
              <a:rPr lang="es-BO" sz="1600" baseline="-25000">
                <a:latin typeface="Arial" panose="020B0604020202020204" pitchFamily="34" charset="0"/>
                <a:cs typeface="Arial" panose="020B0604020202020204" pitchFamily="34" charset="0"/>
              </a:rPr>
              <a:t>pc</a:t>
            </a:r>
            <a:r>
              <a:rPr lang="es-BO" sz="1600">
                <a:latin typeface="Arial" panose="020B0604020202020204" pitchFamily="34" charset="0"/>
                <a:cs typeface="Arial" panose="020B0604020202020204" pitchFamily="34" charset="0"/>
              </a:rPr>
              <a:t>, ºR</a:t>
            </a:r>
          </a:p>
        </c:rich>
      </c:tx>
      <c:layout>
        <c:manualLayout>
          <c:xMode val="edge"/>
          <c:yMode val="edge"/>
          <c:x val="0.8167662384930181"/>
          <c:y val="4.77374893055495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9767185590350825"/>
          <c:w val="0.63210607031679178"/>
          <c:h val="0.676773800221537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'Ppc-Tpc from SGg'!$AA$1:$AB$1</c:f>
              <c:strCache>
                <c:ptCount val="1"/>
                <c:pt idx="0">
                  <c:v>(1) Standing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SGg'!$AH$10:$AH$20</c:f>
              <c:numCache>
                <c:formatCode>0.0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E-43AC-B585-DDB871EEC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970320"/>
        <c:axId val="700970880"/>
      </c:scatterChart>
      <c:scatterChart>
        <c:scatterStyle val="smoothMarker"/>
        <c:varyColors val="0"/>
        <c:ser>
          <c:idx val="3"/>
          <c:order val="0"/>
          <c:tx>
            <c:strRef>
              <c:f>'Ppc-Tpc from SGg'!$AA$2:$AB$2</c:f>
              <c:strCache>
                <c:ptCount val="1"/>
                <c:pt idx="0">
                  <c:v>(2) Sutton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SGg'!$AI$10:$AI$20</c:f>
              <c:numCache>
                <c:formatCode>0.0</c:formatCode>
                <c:ptCount val="11"/>
                <c:pt idx="0">
                  <c:v>325.45</c:v>
                </c:pt>
                <c:pt idx="1">
                  <c:v>339.04</c:v>
                </c:pt>
                <c:pt idx="2">
                  <c:v>352.26</c:v>
                </c:pt>
                <c:pt idx="3">
                  <c:v>365.11</c:v>
                </c:pt>
                <c:pt idx="4">
                  <c:v>377.59</c:v>
                </c:pt>
                <c:pt idx="5">
                  <c:v>389.7</c:v>
                </c:pt>
                <c:pt idx="6">
                  <c:v>401.44</c:v>
                </c:pt>
                <c:pt idx="7">
                  <c:v>412.81</c:v>
                </c:pt>
                <c:pt idx="8">
                  <c:v>423.81</c:v>
                </c:pt>
                <c:pt idx="9">
                  <c:v>434.44</c:v>
                </c:pt>
                <c:pt idx="10">
                  <c:v>444.7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FE-43AC-B585-DDB871EECF8D}"/>
            </c:ext>
          </c:extLst>
        </c:ser>
        <c:ser>
          <c:idx val="1"/>
          <c:order val="2"/>
          <c:tx>
            <c:strRef>
              <c:f>'Ppc-Tpc from SGg'!$AA$3:$AB$3</c:f>
              <c:strCache>
                <c:ptCount val="1"/>
                <c:pt idx="0">
                  <c:v>(3) Ahmed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SGg'!$AJ$10:$AJ$20</c:f>
              <c:numCache>
                <c:formatCode>0.0</c:formatCode>
                <c:ptCount val="11"/>
                <c:pt idx="0">
                  <c:v>326</c:v>
                </c:pt>
                <c:pt idx="1">
                  <c:v>341.78500000000003</c:v>
                </c:pt>
                <c:pt idx="2">
                  <c:v>357.57</c:v>
                </c:pt>
                <c:pt idx="3">
                  <c:v>373.35500000000002</c:v>
                </c:pt>
                <c:pt idx="4">
                  <c:v>389.14</c:v>
                </c:pt>
                <c:pt idx="5">
                  <c:v>404.92500000000001</c:v>
                </c:pt>
                <c:pt idx="6">
                  <c:v>420.71000000000004</c:v>
                </c:pt>
                <c:pt idx="7">
                  <c:v>436.495</c:v>
                </c:pt>
                <c:pt idx="8">
                  <c:v>452.28000000000003</c:v>
                </c:pt>
                <c:pt idx="9">
                  <c:v>468.065</c:v>
                </c:pt>
                <c:pt idx="10">
                  <c:v>483.85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FE-43AC-B585-DDB871EECF8D}"/>
            </c:ext>
          </c:extLst>
        </c:ser>
        <c:ser>
          <c:idx val="0"/>
          <c:order val="3"/>
          <c:tx>
            <c:strRef>
              <c:f>'Ppc-Tpc from SGg'!$AA$4:$AB$4</c:f>
              <c:strCache>
                <c:ptCount val="1"/>
                <c:pt idx="0">
                  <c:v>(4) Piper et al.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SGg'!$AK$10:$AK$20</c:f>
              <c:numCache>
                <c:formatCode>0.0</c:formatCode>
                <c:ptCount val="11"/>
                <c:pt idx="0">
                  <c:v>309.77217615575921</c:v>
                </c:pt>
                <c:pt idx="1">
                  <c:v>325.89348211902416</c:v>
                </c:pt>
                <c:pt idx="2">
                  <c:v>341.54559070069604</c:v>
                </c:pt>
                <c:pt idx="3">
                  <c:v>356.7261479652272</c:v>
                </c:pt>
                <c:pt idx="4">
                  <c:v>371.43355608235521</c:v>
                </c:pt>
                <c:pt idx="5">
                  <c:v>385.66677319794064</c:v>
                </c:pt>
                <c:pt idx="6">
                  <c:v>399.42517616746875</c:v>
                </c:pt>
                <c:pt idx="7">
                  <c:v>412.70846438848969</c:v>
                </c:pt>
                <c:pt idx="8">
                  <c:v>425.51659118088003</c:v>
                </c:pt>
                <c:pt idx="9">
                  <c:v>437.84971404749916</c:v>
                </c:pt>
                <c:pt idx="10">
                  <c:v>449.70815813727256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FE-43AC-B585-DDB871EECF8D}"/>
            </c:ext>
          </c:extLst>
        </c:ser>
        <c:ser>
          <c:idx val="2"/>
          <c:order val="4"/>
          <c:tx>
            <c:strRef>
              <c:f>'Ppc-Tpc from SGg'!$AA$5:$AB$5</c:f>
              <c:strCache>
                <c:ptCount val="1"/>
                <c:pt idx="0">
                  <c:v>(5) Elsharkawy et al.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SGg'!$AL$10:$AL$20</c:f>
              <c:numCache>
                <c:formatCode>0.0</c:formatCode>
                <c:ptCount val="11"/>
                <c:pt idx="0">
                  <c:v>311.50599999999997</c:v>
                </c:pt>
                <c:pt idx="1">
                  <c:v>325.89676000000003</c:v>
                </c:pt>
                <c:pt idx="2">
                  <c:v>339.95263999999997</c:v>
                </c:pt>
                <c:pt idx="3">
                  <c:v>353.67363999999998</c:v>
                </c:pt>
                <c:pt idx="4">
                  <c:v>367.05975999999998</c:v>
                </c:pt>
                <c:pt idx="5">
                  <c:v>380.11099999999999</c:v>
                </c:pt>
                <c:pt idx="6">
                  <c:v>392.82736</c:v>
                </c:pt>
                <c:pt idx="7">
                  <c:v>405.20884000000001</c:v>
                </c:pt>
                <c:pt idx="8">
                  <c:v>417.25544000000002</c:v>
                </c:pt>
                <c:pt idx="9">
                  <c:v>428.96715999999998</c:v>
                </c:pt>
                <c:pt idx="10">
                  <c:v>440.34399999999999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5FE-43AC-B585-DDB871EECF8D}"/>
            </c:ext>
          </c:extLst>
        </c:ser>
        <c:ser>
          <c:idx val="5"/>
          <c:order val="5"/>
          <c:tx>
            <c:strRef>
              <c:f>'Ppc-Tpc from SGg'!$AA$6:$AB$6</c:f>
              <c:strCache>
                <c:ptCount val="1"/>
                <c:pt idx="0">
                  <c:v>(6) Gua Ghalambor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'Ppc-Tpc from SGg'!$AA$10:$AA$20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'Ppc-Tpc from SGg'!$AM$10:$AM$20</c:f>
              <c:numCache>
                <c:formatCode>0.0</c:formatCode>
                <c:ptCount val="11"/>
                <c:pt idx="0">
                  <c:v>324.16300000000001</c:v>
                </c:pt>
                <c:pt idx="1">
                  <c:v>339.53020000000004</c:v>
                </c:pt>
                <c:pt idx="2">
                  <c:v>354.8974</c:v>
                </c:pt>
                <c:pt idx="3">
                  <c:v>370.26460000000003</c:v>
                </c:pt>
                <c:pt idx="4">
                  <c:v>385.6318</c:v>
                </c:pt>
                <c:pt idx="5">
                  <c:v>400.99900000000002</c:v>
                </c:pt>
                <c:pt idx="6">
                  <c:v>416.36620000000005</c:v>
                </c:pt>
                <c:pt idx="7">
                  <c:v>431.73340000000002</c:v>
                </c:pt>
                <c:pt idx="8">
                  <c:v>447.10060000000004</c:v>
                </c:pt>
                <c:pt idx="9">
                  <c:v>462.46780000000001</c:v>
                </c:pt>
                <c:pt idx="10">
                  <c:v>477.83500000000004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5FE-43AC-B585-DDB871EEC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964720"/>
        <c:axId val="700964160"/>
      </c:scatterChart>
      <c:valAx>
        <c:axId val="700970320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700970880"/>
        <c:crossesAt val="0"/>
        <c:crossBetween val="midCat"/>
      </c:valAx>
      <c:valAx>
        <c:axId val="700970880"/>
        <c:scaling>
          <c:orientation val="minMax"/>
          <c:max val="500"/>
          <c:min val="3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700970320"/>
        <c:crossesAt val="0"/>
        <c:crossBetween val="midCat"/>
      </c:valAx>
      <c:valAx>
        <c:axId val="700964160"/>
        <c:scaling>
          <c:orientation val="minMax"/>
          <c:max val="500"/>
          <c:min val="3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700964720"/>
        <c:crosses val="max"/>
        <c:crossBetween val="midCat"/>
      </c:valAx>
      <c:valAx>
        <c:axId val="700964720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70096416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sz="900" b="1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7356212660565116"/>
          <c:y val="0.18841519119502326"/>
          <c:w val="0.20570207754470371"/>
          <c:h val="0.71412573773582166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9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1517436243308381E-2"/>
          <c:w val="0.84530568430719188"/>
          <c:h val="0.7750072560291715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A5E-483C-9681-8328AFA787ED}"/>
            </c:ext>
          </c:extLst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1976'!$AN$10:$AN$29</c:f>
              <c:numCache>
                <c:formatCode>0.0000;0;0</c:formatCode>
                <c:ptCount val="20"/>
                <c:pt idx="0">
                  <c:v>0.99978</c:v>
                </c:pt>
                <c:pt idx="1">
                  <c:v>0.88656000000000001</c:v>
                </c:pt>
                <c:pt idx="2">
                  <c:v>0.78934000000000004</c:v>
                </c:pt>
                <c:pt idx="3">
                  <c:v>0.72472999999999999</c:v>
                </c:pt>
                <c:pt idx="4">
                  <c:v>0.70221</c:v>
                </c:pt>
                <c:pt idx="5">
                  <c:v>0.71269000000000005</c:v>
                </c:pt>
                <c:pt idx="6">
                  <c:v>0.74217999999999995</c:v>
                </c:pt>
                <c:pt idx="7">
                  <c:v>0.78166999999999998</c:v>
                </c:pt>
                <c:pt idx="8">
                  <c:v>0.82647999999999999</c:v>
                </c:pt>
                <c:pt idx="9">
                  <c:v>0.87424000000000002</c:v>
                </c:pt>
                <c:pt idx="10">
                  <c:v>0.92366000000000004</c:v>
                </c:pt>
                <c:pt idx="11">
                  <c:v>0.97402</c:v>
                </c:pt>
                <c:pt idx="12">
                  <c:v>1.0249200000000001</c:v>
                </c:pt>
                <c:pt idx="13">
                  <c:v>1.0760799999999999</c:v>
                </c:pt>
                <c:pt idx="14">
                  <c:v>1.1273599999999999</c:v>
                </c:pt>
                <c:pt idx="15">
                  <c:v>1.17865</c:v>
                </c:pt>
                <c:pt idx="16">
                  <c:v>1.2299</c:v>
                </c:pt>
                <c:pt idx="17">
                  <c:v>1.28105</c:v>
                </c:pt>
                <c:pt idx="18">
                  <c:v>1.33209</c:v>
                </c:pt>
                <c:pt idx="19">
                  <c:v>1.383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E-483C-9681-8328AFA787ED}"/>
            </c:ext>
          </c:extLst>
        </c:ser>
        <c:ser>
          <c:idx val="3"/>
          <c:order val="3"/>
          <c:tx>
            <c:v>Tpr: 1.45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1976'!$AS$10:$AS$29</c:f>
              <c:numCache>
                <c:formatCode>0.0000;0;0</c:formatCode>
                <c:ptCount val="20"/>
                <c:pt idx="0">
                  <c:v>0.99980000000000002</c:v>
                </c:pt>
                <c:pt idx="1">
                  <c:v>0.90124000000000004</c:v>
                </c:pt>
                <c:pt idx="2">
                  <c:v>0.81864999999999999</c:v>
                </c:pt>
                <c:pt idx="3">
                  <c:v>0.76317999999999997</c:v>
                </c:pt>
                <c:pt idx="4">
                  <c:v>0.74075999999999997</c:v>
                </c:pt>
                <c:pt idx="5">
                  <c:v>0.74616000000000005</c:v>
                </c:pt>
                <c:pt idx="6">
                  <c:v>0.76959999999999995</c:v>
                </c:pt>
                <c:pt idx="7">
                  <c:v>0.80356000000000005</c:v>
                </c:pt>
                <c:pt idx="8">
                  <c:v>0.84357000000000004</c:v>
                </c:pt>
                <c:pt idx="9">
                  <c:v>0.88710999999999995</c:v>
                </c:pt>
                <c:pt idx="10">
                  <c:v>0.93279000000000001</c:v>
                </c:pt>
                <c:pt idx="11">
                  <c:v>0.97975000000000001</c:v>
                </c:pt>
                <c:pt idx="12">
                  <c:v>1.0275099999999999</c:v>
                </c:pt>
                <c:pt idx="13">
                  <c:v>1.07575</c:v>
                </c:pt>
                <c:pt idx="14">
                  <c:v>1.12425</c:v>
                </c:pt>
                <c:pt idx="15">
                  <c:v>1.1729099999999999</c:v>
                </c:pt>
                <c:pt idx="16">
                  <c:v>1.2216100000000001</c:v>
                </c:pt>
                <c:pt idx="17">
                  <c:v>1.2703100000000001</c:v>
                </c:pt>
                <c:pt idx="18">
                  <c:v>1.3189599999999999</c:v>
                </c:pt>
                <c:pt idx="19">
                  <c:v>1.3675299999999999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5E-483C-9681-8328AFA787ED}"/>
            </c:ext>
          </c:extLst>
        </c:ser>
        <c:ser>
          <c:idx val="4"/>
          <c:order val="4"/>
          <c:tx>
            <c:v>Tpr: 1.5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1976'!$AX$10:$AX$29</c:f>
              <c:numCache>
                <c:formatCode>0.0000;0;0</c:formatCode>
                <c:ptCount val="20"/>
                <c:pt idx="0">
                  <c:v>0.99983</c:v>
                </c:pt>
                <c:pt idx="1">
                  <c:v>0.91371999999999998</c:v>
                </c:pt>
                <c:pt idx="2">
                  <c:v>0.84304999999999997</c:v>
                </c:pt>
                <c:pt idx="3">
                  <c:v>0.79544000000000004</c:v>
                </c:pt>
                <c:pt idx="4">
                  <c:v>0.77456999999999998</c:v>
                </c:pt>
                <c:pt idx="5">
                  <c:v>0.77703</c:v>
                </c:pt>
                <c:pt idx="6">
                  <c:v>0.79593999999999998</c:v>
                </c:pt>
                <c:pt idx="7">
                  <c:v>0.82526999999999995</c:v>
                </c:pt>
                <c:pt idx="8">
                  <c:v>0.86099999999999999</c:v>
                </c:pt>
                <c:pt idx="9">
                  <c:v>0.90068999999999999</c:v>
                </c:pt>
                <c:pt idx="10">
                  <c:v>0.94286999999999999</c:v>
                </c:pt>
                <c:pt idx="11">
                  <c:v>0.98663999999999996</c:v>
                </c:pt>
                <c:pt idx="12">
                  <c:v>1.0314300000000001</c:v>
                </c:pt>
                <c:pt idx="13">
                  <c:v>1.0768899999999999</c:v>
                </c:pt>
                <c:pt idx="14">
                  <c:v>1.12277</c:v>
                </c:pt>
                <c:pt idx="15">
                  <c:v>1.16892</c:v>
                </c:pt>
                <c:pt idx="16">
                  <c:v>1.2152099999999999</c:v>
                </c:pt>
                <c:pt idx="17">
                  <c:v>1.2615799999999999</c:v>
                </c:pt>
                <c:pt idx="18">
                  <c:v>1.3079799999999999</c:v>
                </c:pt>
                <c:pt idx="19">
                  <c:v>1.35436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5E-483C-9681-8328AFA787ED}"/>
            </c:ext>
          </c:extLst>
        </c:ser>
        <c:ser>
          <c:idx val="5"/>
          <c:order val="5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1976'!$BC$10:$BC$29</c:f>
              <c:numCache>
                <c:formatCode>0.0000;0;0</c:formatCode>
                <c:ptCount val="20"/>
                <c:pt idx="0">
                  <c:v>0.99985000000000002</c:v>
                </c:pt>
                <c:pt idx="1">
                  <c:v>0.9244</c:v>
                </c:pt>
                <c:pt idx="2">
                  <c:v>0.86362000000000005</c:v>
                </c:pt>
                <c:pt idx="3">
                  <c:v>0.82277</c:v>
                </c:pt>
                <c:pt idx="4">
                  <c:v>0.80403999999999998</c:v>
                </c:pt>
                <c:pt idx="5">
                  <c:v>0.80500000000000005</c:v>
                </c:pt>
                <c:pt idx="6">
                  <c:v>0.82064999999999999</c:v>
                </c:pt>
                <c:pt idx="7">
                  <c:v>0.84623000000000004</c:v>
                </c:pt>
                <c:pt idx="8">
                  <c:v>0.87827999999999995</c:v>
                </c:pt>
                <c:pt idx="9">
                  <c:v>0.91452</c:v>
                </c:pt>
                <c:pt idx="10">
                  <c:v>0.95350000000000001</c:v>
                </c:pt>
                <c:pt idx="11">
                  <c:v>0.99429999999999996</c:v>
                </c:pt>
                <c:pt idx="12">
                  <c:v>1.0363199999999999</c:v>
                </c:pt>
                <c:pt idx="13">
                  <c:v>1.07917</c:v>
                </c:pt>
                <c:pt idx="14">
                  <c:v>1.1225700000000001</c:v>
                </c:pt>
                <c:pt idx="15">
                  <c:v>1.16635</c:v>
                </c:pt>
                <c:pt idx="16">
                  <c:v>1.2103699999999999</c:v>
                </c:pt>
                <c:pt idx="17">
                  <c:v>1.2545500000000001</c:v>
                </c:pt>
                <c:pt idx="18">
                  <c:v>1.2988200000000001</c:v>
                </c:pt>
                <c:pt idx="19">
                  <c:v>1.3431200000000001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5E-483C-9681-8328AFA787ED}"/>
            </c:ext>
          </c:extLst>
        </c:ser>
        <c:ser>
          <c:idx val="6"/>
          <c:order val="6"/>
          <c:tx>
            <c:v>Tpr: 1.61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1976'!$BH$10:$BH$29</c:f>
              <c:numCache>
                <c:formatCode>0.0000;0;0</c:formatCode>
                <c:ptCount val="20"/>
                <c:pt idx="0">
                  <c:v>0.99985999999999997</c:v>
                </c:pt>
                <c:pt idx="1">
                  <c:v>0.93362999999999996</c:v>
                </c:pt>
                <c:pt idx="2">
                  <c:v>0.88114999999999999</c:v>
                </c:pt>
                <c:pt idx="3">
                  <c:v>0.84611000000000003</c:v>
                </c:pt>
                <c:pt idx="4">
                  <c:v>0.82972999999999997</c:v>
                </c:pt>
                <c:pt idx="5">
                  <c:v>0.83008999999999999</c:v>
                </c:pt>
                <c:pt idx="6">
                  <c:v>0.84345999999999999</c:v>
                </c:pt>
                <c:pt idx="7">
                  <c:v>0.86609000000000003</c:v>
                </c:pt>
                <c:pt idx="8">
                  <c:v>0.89502000000000004</c:v>
                </c:pt>
                <c:pt idx="9">
                  <c:v>0.92823</c:v>
                </c:pt>
                <c:pt idx="10">
                  <c:v>0.96433000000000002</c:v>
                </c:pt>
                <c:pt idx="11">
                  <c:v>1.00241</c:v>
                </c:pt>
                <c:pt idx="12">
                  <c:v>1.0418700000000001</c:v>
                </c:pt>
                <c:pt idx="13">
                  <c:v>1.0822799999999999</c:v>
                </c:pt>
                <c:pt idx="14">
                  <c:v>1.12337</c:v>
                </c:pt>
                <c:pt idx="15">
                  <c:v>1.16493</c:v>
                </c:pt>
                <c:pt idx="16">
                  <c:v>1.2068099999999999</c:v>
                </c:pt>
                <c:pt idx="17">
                  <c:v>1.24892</c:v>
                </c:pt>
                <c:pt idx="18">
                  <c:v>1.29118</c:v>
                </c:pt>
                <c:pt idx="19">
                  <c:v>1.3335300000000001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5E-483C-9681-8328AFA787ED}"/>
            </c:ext>
          </c:extLst>
        </c:ser>
        <c:ser>
          <c:idx val="7"/>
          <c:order val="7"/>
          <c:tx>
            <c:v>Tpr: 1.67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1976'!$BM$10:$BM$29</c:f>
              <c:numCache>
                <c:formatCode>0.0000;0;0</c:formatCode>
                <c:ptCount val="20"/>
                <c:pt idx="0">
                  <c:v>0.99987999999999999</c:v>
                </c:pt>
                <c:pt idx="1">
                  <c:v>0.94164000000000003</c:v>
                </c:pt>
                <c:pt idx="2">
                  <c:v>0.89624000000000004</c:v>
                </c:pt>
                <c:pt idx="3">
                  <c:v>0.86619999999999997</c:v>
                </c:pt>
                <c:pt idx="4">
                  <c:v>0.85214999999999996</c:v>
                </c:pt>
                <c:pt idx="5">
                  <c:v>0.85248999999999997</c:v>
                </c:pt>
                <c:pt idx="6">
                  <c:v>0.86431000000000002</c:v>
                </c:pt>
                <c:pt idx="7">
                  <c:v>0.88463000000000003</c:v>
                </c:pt>
                <c:pt idx="8">
                  <c:v>0.91098000000000001</c:v>
                </c:pt>
                <c:pt idx="9">
                  <c:v>0.94155999999999995</c:v>
                </c:pt>
                <c:pt idx="10">
                  <c:v>0.97509000000000001</c:v>
                </c:pt>
                <c:pt idx="11">
                  <c:v>1.01071</c:v>
                </c:pt>
                <c:pt idx="12">
                  <c:v>1.0478099999999999</c:v>
                </c:pt>
                <c:pt idx="13">
                  <c:v>1.0859799999999999</c:v>
                </c:pt>
                <c:pt idx="14">
                  <c:v>1.1249100000000001</c:v>
                </c:pt>
                <c:pt idx="15">
                  <c:v>1.16439</c:v>
                </c:pt>
                <c:pt idx="16">
                  <c:v>1.20427</c:v>
                </c:pt>
                <c:pt idx="17">
                  <c:v>1.24444</c:v>
                </c:pt>
                <c:pt idx="18">
                  <c:v>1.2848200000000001</c:v>
                </c:pt>
                <c:pt idx="19">
                  <c:v>1.3253299999999999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5E-483C-9681-8328AFA787ED}"/>
            </c:ext>
          </c:extLst>
        </c:ser>
        <c:ser>
          <c:idx val="8"/>
          <c:order val="8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1976'!$BR$10:$BR$29</c:f>
              <c:numCache>
                <c:formatCode>0.0000;0;0</c:formatCode>
                <c:ptCount val="20"/>
                <c:pt idx="0">
                  <c:v>0.99988999999999995</c:v>
                </c:pt>
                <c:pt idx="1">
                  <c:v>0.94864000000000004</c:v>
                </c:pt>
                <c:pt idx="2">
                  <c:v>0.90930999999999995</c:v>
                </c:pt>
                <c:pt idx="3">
                  <c:v>0.88363000000000003</c:v>
                </c:pt>
                <c:pt idx="4">
                  <c:v>0.87180000000000002</c:v>
                </c:pt>
                <c:pt idx="5">
                  <c:v>0.87243000000000004</c:v>
                </c:pt>
                <c:pt idx="6">
                  <c:v>0.88322999999999996</c:v>
                </c:pt>
                <c:pt idx="7">
                  <c:v>0.90178000000000003</c:v>
                </c:pt>
                <c:pt idx="8">
                  <c:v>0.92600000000000005</c:v>
                </c:pt>
                <c:pt idx="9">
                  <c:v>0.95431999999999995</c:v>
                </c:pt>
                <c:pt idx="10">
                  <c:v>0.98560000000000003</c:v>
                </c:pt>
                <c:pt idx="11">
                  <c:v>1.0189999999999999</c:v>
                </c:pt>
                <c:pt idx="12">
                  <c:v>1.05396</c:v>
                </c:pt>
                <c:pt idx="13">
                  <c:v>1.09005</c:v>
                </c:pt>
                <c:pt idx="14">
                  <c:v>1.1269800000000001</c:v>
                </c:pt>
                <c:pt idx="15">
                  <c:v>1.1645399999999999</c:v>
                </c:pt>
                <c:pt idx="16">
                  <c:v>1.20255</c:v>
                </c:pt>
                <c:pt idx="17">
                  <c:v>1.2408999999999999</c:v>
                </c:pt>
                <c:pt idx="18">
                  <c:v>1.2795099999999999</c:v>
                </c:pt>
                <c:pt idx="19">
                  <c:v>1.3183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5E-483C-9681-8328AFA787ED}"/>
            </c:ext>
          </c:extLst>
        </c:ser>
        <c:ser>
          <c:idx val="9"/>
          <c:order val="9"/>
          <c:tx>
            <c:v>Tpr: 1.78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1976'!$BW$10:$BW$29</c:f>
              <c:numCache>
                <c:formatCode>0.0000;0;0</c:formatCode>
                <c:ptCount val="20"/>
                <c:pt idx="0">
                  <c:v>0.99990000000000001</c:v>
                </c:pt>
                <c:pt idx="1">
                  <c:v>0.95477999999999996</c:v>
                </c:pt>
                <c:pt idx="2">
                  <c:v>0.92071000000000003</c:v>
                </c:pt>
                <c:pt idx="3">
                  <c:v>0.89881999999999995</c:v>
                </c:pt>
                <c:pt idx="4">
                  <c:v>0.88905999999999996</c:v>
                </c:pt>
                <c:pt idx="5">
                  <c:v>0.89019000000000004</c:v>
                </c:pt>
                <c:pt idx="6">
                  <c:v>0.90034999999999998</c:v>
                </c:pt>
                <c:pt idx="7">
                  <c:v>0.91752999999999996</c:v>
                </c:pt>
                <c:pt idx="8">
                  <c:v>0.94</c:v>
                </c:pt>
                <c:pt idx="9">
                  <c:v>0.96640000000000004</c:v>
                </c:pt>
                <c:pt idx="10">
                  <c:v>0.99568999999999996</c:v>
                </c:pt>
                <c:pt idx="11">
                  <c:v>1.02712</c:v>
                </c:pt>
                <c:pt idx="12">
                  <c:v>1.0601400000000001</c:v>
                </c:pt>
                <c:pt idx="13">
                  <c:v>1.0943400000000001</c:v>
                </c:pt>
                <c:pt idx="14">
                  <c:v>1.1294299999999999</c:v>
                </c:pt>
                <c:pt idx="15">
                  <c:v>1.1651899999999999</c:v>
                </c:pt>
                <c:pt idx="16">
                  <c:v>1.20146</c:v>
                </c:pt>
                <c:pt idx="17">
                  <c:v>1.2381200000000001</c:v>
                </c:pt>
                <c:pt idx="18">
                  <c:v>1.2750699999999999</c:v>
                </c:pt>
                <c:pt idx="19">
                  <c:v>1.3122499999999999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5E-483C-9681-8328AFA787ED}"/>
            </c:ext>
          </c:extLst>
        </c:ser>
        <c:ser>
          <c:idx val="10"/>
          <c:order val="10"/>
          <c:tx>
            <c:v>Tpr: 1.84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1976'!$CB$10:$CB$29</c:f>
              <c:numCache>
                <c:formatCode>0.0000;0;0</c:formatCode>
                <c:ptCount val="20"/>
                <c:pt idx="0">
                  <c:v>0.99992000000000003</c:v>
                </c:pt>
                <c:pt idx="1">
                  <c:v>0.96018999999999999</c:v>
                </c:pt>
                <c:pt idx="2">
                  <c:v>0.93069999999999997</c:v>
                </c:pt>
                <c:pt idx="3">
                  <c:v>0.91213999999999995</c:v>
                </c:pt>
                <c:pt idx="4">
                  <c:v>0.90427999999999997</c:v>
                </c:pt>
                <c:pt idx="5">
                  <c:v>0.90602000000000005</c:v>
                </c:pt>
                <c:pt idx="6">
                  <c:v>0.91578000000000004</c:v>
                </c:pt>
                <c:pt idx="7">
                  <c:v>0.93191999999999997</c:v>
                </c:pt>
                <c:pt idx="8">
                  <c:v>0.95296999999999998</c:v>
                </c:pt>
                <c:pt idx="9">
                  <c:v>0.97772999999999999</c:v>
                </c:pt>
                <c:pt idx="10">
                  <c:v>1.00529</c:v>
                </c:pt>
                <c:pt idx="11">
                  <c:v>1.0349600000000001</c:v>
                </c:pt>
                <c:pt idx="12">
                  <c:v>1.06623</c:v>
                </c:pt>
                <c:pt idx="13">
                  <c:v>1.0987</c:v>
                </c:pt>
                <c:pt idx="14">
                  <c:v>1.1321000000000001</c:v>
                </c:pt>
                <c:pt idx="15">
                  <c:v>1.16621</c:v>
                </c:pt>
                <c:pt idx="16">
                  <c:v>1.20086</c:v>
                </c:pt>
                <c:pt idx="17">
                  <c:v>1.23594</c:v>
                </c:pt>
                <c:pt idx="18">
                  <c:v>1.27135</c:v>
                </c:pt>
                <c:pt idx="19">
                  <c:v>1.30701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5E-483C-9681-8328AFA787ED}"/>
            </c:ext>
          </c:extLst>
        </c:ser>
        <c:ser>
          <c:idx val="11"/>
          <c:order val="11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1976'!$AL$10:$AL$29</c:f>
              <c:numCache>
                <c:formatCode>0.00;0;0</c:formatCode>
                <c:ptCount val="20"/>
                <c:pt idx="0">
                  <c:v>1</c:v>
                </c:pt>
                <c:pt idx="1">
                  <c:v>527.26</c:v>
                </c:pt>
                <c:pt idx="2">
                  <c:v>1053.53</c:v>
                </c:pt>
                <c:pt idx="3">
                  <c:v>1579.79</c:v>
                </c:pt>
                <c:pt idx="4">
                  <c:v>2106.0500000000002</c:v>
                </c:pt>
                <c:pt idx="5">
                  <c:v>2632.32</c:v>
                </c:pt>
                <c:pt idx="6">
                  <c:v>3158.58</c:v>
                </c:pt>
                <c:pt idx="7">
                  <c:v>3684.84</c:v>
                </c:pt>
                <c:pt idx="8">
                  <c:v>4211.1099999999997</c:v>
                </c:pt>
                <c:pt idx="9">
                  <c:v>4737.37</c:v>
                </c:pt>
                <c:pt idx="10">
                  <c:v>5263.63</c:v>
                </c:pt>
                <c:pt idx="11">
                  <c:v>5789.89</c:v>
                </c:pt>
                <c:pt idx="12">
                  <c:v>6316.16</c:v>
                </c:pt>
                <c:pt idx="13">
                  <c:v>6842.42</c:v>
                </c:pt>
                <c:pt idx="14">
                  <c:v>7368.68</c:v>
                </c:pt>
                <c:pt idx="15">
                  <c:v>7894.95</c:v>
                </c:pt>
                <c:pt idx="16">
                  <c:v>8421.2099999999991</c:v>
                </c:pt>
                <c:pt idx="17">
                  <c:v>8947.4699999999993</c:v>
                </c:pt>
                <c:pt idx="18">
                  <c:v>9473.74</c:v>
                </c:pt>
                <c:pt idx="19">
                  <c:v>10000</c:v>
                </c:pt>
              </c:numCache>
            </c:numRef>
          </c:xVal>
          <c:yVal>
            <c:numRef>
              <c:f>'Factor-z EOS PR 1976'!$CG$10:$CG$29</c:f>
              <c:numCache>
                <c:formatCode>0.0000;0;0</c:formatCode>
                <c:ptCount val="20"/>
                <c:pt idx="0">
                  <c:v>0.99992999999999999</c:v>
                </c:pt>
                <c:pt idx="1">
                  <c:v>0.96499000000000001</c:v>
                </c:pt>
                <c:pt idx="2">
                  <c:v>0.9395</c:v>
                </c:pt>
                <c:pt idx="3">
                  <c:v>0.92388000000000003</c:v>
                </c:pt>
                <c:pt idx="4">
                  <c:v>0.91774999999999995</c:v>
                </c:pt>
                <c:pt idx="5">
                  <c:v>0.92013999999999996</c:v>
                </c:pt>
                <c:pt idx="6">
                  <c:v>0.92969999999999997</c:v>
                </c:pt>
                <c:pt idx="7">
                  <c:v>0.94503999999999999</c:v>
                </c:pt>
                <c:pt idx="8">
                  <c:v>0.96491000000000005</c:v>
                </c:pt>
                <c:pt idx="9">
                  <c:v>0.98829</c:v>
                </c:pt>
                <c:pt idx="10">
                  <c:v>1.01434</c:v>
                </c:pt>
                <c:pt idx="11">
                  <c:v>1.0424500000000001</c:v>
                </c:pt>
                <c:pt idx="12">
                  <c:v>1.07213</c:v>
                </c:pt>
                <c:pt idx="13">
                  <c:v>1.10304</c:v>
                </c:pt>
                <c:pt idx="14">
                  <c:v>1.13489</c:v>
                </c:pt>
                <c:pt idx="15">
                  <c:v>1.16747</c:v>
                </c:pt>
                <c:pt idx="16">
                  <c:v>1.2006300000000001</c:v>
                </c:pt>
                <c:pt idx="17">
                  <c:v>1.23424</c:v>
                </c:pt>
                <c:pt idx="18">
                  <c:v>1.2682</c:v>
                </c:pt>
                <c:pt idx="19">
                  <c:v>1.30244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5E-483C-9681-8328AFA78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31088"/>
        <c:axId val="526132208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9A5E-483C-9681-8328AFA78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33888"/>
        <c:axId val="526134448"/>
      </c:scatterChart>
      <c:valAx>
        <c:axId val="526131088"/>
        <c:scaling>
          <c:orientation val="minMax"/>
          <c:max val="10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26132208"/>
        <c:crossesAt val="0"/>
        <c:crossBetween val="midCat"/>
      </c:valAx>
      <c:valAx>
        <c:axId val="526132208"/>
        <c:scaling>
          <c:orientation val="minMax"/>
          <c:max val="1.383"/>
          <c:min val="0.70221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26131088"/>
        <c:crossesAt val="0"/>
        <c:crossBetween val="midCat"/>
      </c:valAx>
      <c:valAx>
        <c:axId val="526134448"/>
        <c:scaling>
          <c:orientation val="minMax"/>
          <c:min val="0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26133888"/>
        <c:crosses val="max"/>
        <c:crossBetween val="midCat"/>
      </c:valAx>
      <c:valAx>
        <c:axId val="526133888"/>
        <c:scaling>
          <c:orientation val="minMax"/>
          <c:max val="10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26134448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9.1517436243308381E-2"/>
          <c:w val="0.82189778361038213"/>
          <c:h val="0.7750072560291715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0FB-48D9-8ED7-DCEAEB1DDB60}"/>
            </c:ext>
          </c:extLst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1976'!$AQ$10:$AQ$29</c:f>
              <c:numCache>
                <c:formatCode>0.0000;0;0</c:formatCode>
                <c:ptCount val="20"/>
                <c:pt idx="0">
                  <c:v>1.0467253074657857E-2</c:v>
                </c:pt>
                <c:pt idx="1">
                  <c:v>1.1412069756985131E-2</c:v>
                </c:pt>
                <c:pt idx="2">
                  <c:v>1.3185876751152924E-2</c:v>
                </c:pt>
                <c:pt idx="3">
                  <c:v>1.5917283239433259E-2</c:v>
                </c:pt>
                <c:pt idx="4">
                  <c:v>1.941416419302212E-2</c:v>
                </c:pt>
                <c:pt idx="5">
                  <c:v>2.3194755799528784E-2</c:v>
                </c:pt>
                <c:pt idx="6">
                  <c:v>2.6936617677611123E-2</c:v>
                </c:pt>
                <c:pt idx="7">
                  <c:v>3.0526308265003767E-2</c:v>
                </c:pt>
                <c:pt idx="8">
                  <c:v>3.3942844522875028E-2</c:v>
                </c:pt>
                <c:pt idx="9">
                  <c:v>3.7192349799079316E-2</c:v>
                </c:pt>
                <c:pt idx="10">
                  <c:v>4.0290450014904833E-2</c:v>
                </c:pt>
                <c:pt idx="11">
                  <c:v>4.3252690291817608E-2</c:v>
                </c:pt>
                <c:pt idx="12">
                  <c:v>4.6091404268484411E-2</c:v>
                </c:pt>
                <c:pt idx="13">
                  <c:v>4.8820177497447229E-2</c:v>
                </c:pt>
                <c:pt idx="14">
                  <c:v>5.144776387949912E-2</c:v>
                </c:pt>
                <c:pt idx="15">
                  <c:v>5.3983753224667655E-2</c:v>
                </c:pt>
                <c:pt idx="16">
                  <c:v>5.643397736536699E-2</c:v>
                </c:pt>
                <c:pt idx="17">
                  <c:v>5.880671764717138E-2</c:v>
                </c:pt>
                <c:pt idx="18">
                  <c:v>6.110617105842174E-2</c:v>
                </c:pt>
                <c:pt idx="19">
                  <c:v>6.3337312118207409E-2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FB-48D9-8ED7-DCEAEB1DDB60}"/>
            </c:ext>
          </c:extLst>
        </c:ser>
        <c:ser>
          <c:idx val="3"/>
          <c:order val="3"/>
          <c:tx>
            <c:v>Tpr: 1.45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1976'!$AV$10:$AV$29</c:f>
              <c:numCache>
                <c:formatCode>0.0000;0;0</c:formatCode>
                <c:ptCount val="20"/>
                <c:pt idx="0">
                  <c:v>1.0901301932321838E-2</c:v>
                </c:pt>
                <c:pt idx="1">
                  <c:v>1.1752745969545656E-2</c:v>
                </c:pt>
                <c:pt idx="2">
                  <c:v>1.3296948753867157E-2</c:v>
                </c:pt>
                <c:pt idx="3">
                  <c:v>1.5575001620371913E-2</c:v>
                </c:pt>
                <c:pt idx="4">
                  <c:v>1.8473623846324828E-2</c:v>
                </c:pt>
                <c:pt idx="5">
                  <c:v>2.169246625262922E-2</c:v>
                </c:pt>
                <c:pt idx="6">
                  <c:v>2.4977414503106709E-2</c:v>
                </c:pt>
                <c:pt idx="7">
                  <c:v>2.8201342327387642E-2</c:v>
                </c:pt>
                <c:pt idx="8">
                  <c:v>3.1317402947854428E-2</c:v>
                </c:pt>
                <c:pt idx="9">
                  <c:v>3.4314789690306984E-2</c:v>
                </c:pt>
                <c:pt idx="10">
                  <c:v>3.7194271036107888E-2</c:v>
                </c:pt>
                <c:pt idx="11">
                  <c:v>3.9964379350821262E-2</c:v>
                </c:pt>
                <c:pt idx="12">
                  <c:v>4.2631808712658155E-2</c:v>
                </c:pt>
                <c:pt idx="13">
                  <c:v>4.5204429074199783E-2</c:v>
                </c:pt>
                <c:pt idx="14">
                  <c:v>4.7690886818370123E-2</c:v>
                </c:pt>
                <c:pt idx="15">
                  <c:v>5.0095281602555955E-2</c:v>
                </c:pt>
                <c:pt idx="16">
                  <c:v>5.2425583983573221E-2</c:v>
                </c:pt>
                <c:pt idx="17">
                  <c:v>5.4685451787555454E-2</c:v>
                </c:pt>
                <c:pt idx="18">
                  <c:v>5.6880353879940462E-2</c:v>
                </c:pt>
                <c:pt idx="19">
                  <c:v>5.9014370901822905E-2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FB-48D9-8ED7-DCEAEB1DDB60}"/>
            </c:ext>
          </c:extLst>
        </c:ser>
        <c:ser>
          <c:idx val="4"/>
          <c:order val="4"/>
          <c:tx>
            <c:v>Tpr: 1.5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1976'!$BA$10:$BA$29</c:f>
              <c:numCache>
                <c:formatCode>0.0000;0;0</c:formatCode>
                <c:ptCount val="20"/>
                <c:pt idx="0">
                  <c:v>1.1331495314642516E-2</c:v>
                </c:pt>
                <c:pt idx="1">
                  <c:v>1.2104722012938426E-2</c:v>
                </c:pt>
                <c:pt idx="2">
                  <c:v>1.347246185938538E-2</c:v>
                </c:pt>
                <c:pt idx="3">
                  <c:v>1.5425198338557046E-2</c:v>
                </c:pt>
                <c:pt idx="4">
                  <c:v>1.7884000829586313E-2</c:v>
                </c:pt>
                <c:pt idx="5">
                  <c:v>2.0653360958815717E-2</c:v>
                </c:pt>
                <c:pt idx="6">
                  <c:v>2.3542677263067493E-2</c:v>
                </c:pt>
                <c:pt idx="7">
                  <c:v>2.6434137693127815E-2</c:v>
                </c:pt>
                <c:pt idx="8">
                  <c:v>2.9270831915716004E-2</c:v>
                </c:pt>
                <c:pt idx="9">
                  <c:v>3.202894570837686E-2</c:v>
                </c:pt>
                <c:pt idx="10">
                  <c:v>3.4701164056693157E-2</c:v>
                </c:pt>
                <c:pt idx="11">
                  <c:v>3.7287447753083944E-2</c:v>
                </c:pt>
                <c:pt idx="12">
                  <c:v>3.9791299968232996E-2</c:v>
                </c:pt>
                <c:pt idx="13">
                  <c:v>4.2215977873639086E-2</c:v>
                </c:pt>
                <c:pt idx="14">
                  <c:v>4.456673904366578E-2</c:v>
                </c:pt>
                <c:pt idx="15">
                  <c:v>4.6847363940575627E-2</c:v>
                </c:pt>
                <c:pt idx="16">
                  <c:v>4.906320138653366E-2</c:v>
                </c:pt>
                <c:pt idx="17">
                  <c:v>5.1217046051048744E-2</c:v>
                </c:pt>
                <c:pt idx="18">
                  <c:v>5.3312219829489832E-2</c:v>
                </c:pt>
                <c:pt idx="19">
                  <c:v>5.5352669153557306E-2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FB-48D9-8ED7-DCEAEB1DDB60}"/>
            </c:ext>
          </c:extLst>
        </c:ser>
        <c:ser>
          <c:idx val="5"/>
          <c:order val="5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1976'!$BF$10:$BF$29</c:f>
              <c:numCache>
                <c:formatCode>0.0000;0;0</c:formatCode>
                <c:ptCount val="20"/>
                <c:pt idx="0">
                  <c:v>1.1757813400687248E-2</c:v>
                </c:pt>
                <c:pt idx="1">
                  <c:v>1.2464673883890141E-2</c:v>
                </c:pt>
                <c:pt idx="2">
                  <c:v>1.3692349972082622E-2</c:v>
                </c:pt>
                <c:pt idx="3">
                  <c:v>1.5401051108936638E-2</c:v>
                </c:pt>
                <c:pt idx="4">
                  <c:v>1.7528976528466352E-2</c:v>
                </c:pt>
                <c:pt idx="5">
                  <c:v>1.9941396103567259E-2</c:v>
                </c:pt>
                <c:pt idx="6">
                  <c:v>2.2496834830793712E-2</c:v>
                </c:pt>
                <c:pt idx="7">
                  <c:v>2.5094597968292973E-2</c:v>
                </c:pt>
                <c:pt idx="8">
                  <c:v>2.7676542896335008E-2</c:v>
                </c:pt>
                <c:pt idx="9">
                  <c:v>3.0213105024923637E-2</c:v>
                </c:pt>
                <c:pt idx="10">
                  <c:v>3.2690863865112454E-2</c:v>
                </c:pt>
                <c:pt idx="11">
                  <c:v>3.5104447739140489E-2</c:v>
                </c:pt>
                <c:pt idx="12">
                  <c:v>3.7453022776332737E-2</c:v>
                </c:pt>
                <c:pt idx="13">
                  <c:v>3.9737223433677221E-2</c:v>
                </c:pt>
                <c:pt idx="14">
                  <c:v>4.1959983146315868E-2</c:v>
                </c:pt>
                <c:pt idx="15">
                  <c:v>4.4123167052523247E-2</c:v>
                </c:pt>
                <c:pt idx="16">
                  <c:v>4.6229988575597736E-2</c:v>
                </c:pt>
                <c:pt idx="17">
                  <c:v>4.8282491275270074E-2</c:v>
                </c:pt>
                <c:pt idx="18">
                  <c:v>5.0283628106043927E-2</c:v>
                </c:pt>
                <c:pt idx="19">
                  <c:v>5.2236562579897339E-2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FB-48D9-8ED7-DCEAEB1DDB60}"/>
            </c:ext>
          </c:extLst>
        </c:ser>
        <c:ser>
          <c:idx val="6"/>
          <c:order val="6"/>
          <c:tx>
            <c:v>Tpr: 1.61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1976'!$BK$10:$BK$29</c:f>
              <c:numCache>
                <c:formatCode>0.0000;0;0</c:formatCode>
                <c:ptCount val="20"/>
                <c:pt idx="0">
                  <c:v>1.2180250801072087E-2</c:v>
                </c:pt>
                <c:pt idx="1">
                  <c:v>1.2830144536897067E-2</c:v>
                </c:pt>
                <c:pt idx="2">
                  <c:v>1.3943824752033073E-2</c:v>
                </c:pt>
                <c:pt idx="3">
                  <c:v>1.5463116040618357E-2</c:v>
                </c:pt>
                <c:pt idx="4">
                  <c:v>1.7335484157092421E-2</c:v>
                </c:pt>
                <c:pt idx="5">
                  <c:v>1.9463332005502921E-2</c:v>
                </c:pt>
                <c:pt idx="6">
                  <c:v>2.1740165788960087E-2</c:v>
                </c:pt>
                <c:pt idx="7">
                  <c:v>2.4082492507486997E-2</c:v>
                </c:pt>
                <c:pt idx="8">
                  <c:v>2.6437045213213849E-2</c:v>
                </c:pt>
                <c:pt idx="9">
                  <c:v>2.8771535285993379E-2</c:v>
                </c:pt>
                <c:pt idx="10">
                  <c:v>3.1069391748750074E-2</c:v>
                </c:pt>
                <c:pt idx="11">
                  <c:v>3.332185995654656E-2</c:v>
                </c:pt>
                <c:pt idx="12">
                  <c:v>3.5524586308433553E-2</c:v>
                </c:pt>
                <c:pt idx="13">
                  <c:v>3.767680470664532E-2</c:v>
                </c:pt>
                <c:pt idx="14">
                  <c:v>3.977799018875184E-2</c:v>
                </c:pt>
                <c:pt idx="15">
                  <c:v>4.1829665308160076E-2</c:v>
                </c:pt>
                <c:pt idx="16">
                  <c:v>4.3833517602722055E-2</c:v>
                </c:pt>
                <c:pt idx="17">
                  <c:v>4.579050812354625E-2</c:v>
                </c:pt>
                <c:pt idx="18">
                  <c:v>4.7702693204029763E-2</c:v>
                </c:pt>
                <c:pt idx="19">
                  <c:v>4.9571906065397867E-2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FB-48D9-8ED7-DCEAEB1DDB60}"/>
            </c:ext>
          </c:extLst>
        </c:ser>
        <c:ser>
          <c:idx val="7"/>
          <c:order val="7"/>
          <c:tx>
            <c:v>Tpr: 1.67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1976'!$BP$10:$BP$29</c:f>
              <c:numCache>
                <c:formatCode>0.0000;0;0</c:formatCode>
                <c:ptCount val="20"/>
                <c:pt idx="0">
                  <c:v>1.2598813994404877E-2</c:v>
                </c:pt>
                <c:pt idx="1">
                  <c:v>1.3199353732878179E-2</c:v>
                </c:pt>
                <c:pt idx="2">
                  <c:v>1.4218305921430445E-2</c:v>
                </c:pt>
                <c:pt idx="3">
                  <c:v>1.5586474808717868E-2</c:v>
                </c:pt>
                <c:pt idx="4">
                  <c:v>1.7256937177592132E-2</c:v>
                </c:pt>
                <c:pt idx="5">
                  <c:v>1.9155260269101731E-2</c:v>
                </c:pt>
                <c:pt idx="6">
                  <c:v>2.1199939370406172E-2</c:v>
                </c:pt>
                <c:pt idx="7">
                  <c:v>2.3322732363634933E-2</c:v>
                </c:pt>
                <c:pt idx="8">
                  <c:v>2.5475870826303291E-2</c:v>
                </c:pt>
                <c:pt idx="9">
                  <c:v>2.7628308254451697E-2</c:v>
                </c:pt>
                <c:pt idx="10">
                  <c:v>2.9761853801151334E-2</c:v>
                </c:pt>
                <c:pt idx="11">
                  <c:v>3.1865239988174712E-2</c:v>
                </c:pt>
                <c:pt idx="12">
                  <c:v>3.3932702956501144E-2</c:v>
                </c:pt>
                <c:pt idx="13">
                  <c:v>3.5960537039154007E-2</c:v>
                </c:pt>
                <c:pt idx="14">
                  <c:v>3.7948015788398785E-2</c:v>
                </c:pt>
                <c:pt idx="15">
                  <c:v>3.9894878991807256E-2</c:v>
                </c:pt>
                <c:pt idx="16">
                  <c:v>4.1801176602554467E-2</c:v>
                </c:pt>
                <c:pt idx="17">
                  <c:v>4.3667577182220155E-2</c:v>
                </c:pt>
                <c:pt idx="18">
                  <c:v>4.549490091044267E-2</c:v>
                </c:pt>
                <c:pt idx="19">
                  <c:v>4.7285097060866366E-2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FB-48D9-8ED7-DCEAEB1DDB60}"/>
            </c:ext>
          </c:extLst>
        </c:ser>
        <c:ser>
          <c:idx val="8"/>
          <c:order val="8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1976'!$BU$10:$BU$29</c:f>
              <c:numCache>
                <c:formatCode>0.0000;0;0</c:formatCode>
                <c:ptCount val="20"/>
                <c:pt idx="0">
                  <c:v>1.3013519243972435E-2</c:v>
                </c:pt>
                <c:pt idx="1">
                  <c:v>1.3570930568452877E-2</c:v>
                </c:pt>
                <c:pt idx="2">
                  <c:v>1.4509914206412681E-2</c:v>
                </c:pt>
                <c:pt idx="3">
                  <c:v>1.5754623746182927E-2</c:v>
                </c:pt>
                <c:pt idx="4">
                  <c:v>1.726207731669456E-2</c:v>
                </c:pt>
                <c:pt idx="5">
                  <c:v>1.897329705888786E-2</c:v>
                </c:pt>
                <c:pt idx="6">
                  <c:v>2.0823906110797392E-2</c:v>
                </c:pt>
                <c:pt idx="7">
                  <c:v>2.2758118131112583E-2</c:v>
                </c:pt>
                <c:pt idx="8">
                  <c:v>2.4734506759829324E-2</c:v>
                </c:pt>
                <c:pt idx="9">
                  <c:v>2.6724147736310263E-2</c:v>
                </c:pt>
                <c:pt idx="10">
                  <c:v>2.870805981460197E-2</c:v>
                </c:pt>
                <c:pt idx="11">
                  <c:v>3.0674956899358674E-2</c:v>
                </c:pt>
                <c:pt idx="12">
                  <c:v>3.2616873707843289E-2</c:v>
                </c:pt>
                <c:pt idx="13">
                  <c:v>3.4529780010381719E-2</c:v>
                </c:pt>
                <c:pt idx="14">
                  <c:v>3.6410885881728368E-2</c:v>
                </c:pt>
                <c:pt idx="15">
                  <c:v>3.8258587331081208E-2</c:v>
                </c:pt>
                <c:pt idx="16">
                  <c:v>4.007312553788387E-2</c:v>
                </c:pt>
                <c:pt idx="17">
                  <c:v>4.1854176997888265E-2</c:v>
                </c:pt>
                <c:pt idx="18">
                  <c:v>4.3601636547967532E-2</c:v>
                </c:pt>
                <c:pt idx="19">
                  <c:v>4.5316512704691336E-2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FB-48D9-8ED7-DCEAEB1DDB60}"/>
            </c:ext>
          </c:extLst>
        </c:ser>
        <c:ser>
          <c:idx val="9"/>
          <c:order val="9"/>
          <c:tx>
            <c:v>Tpr: 1.78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1976'!$BZ$10:$BZ$29</c:f>
              <c:numCache>
                <c:formatCode>0.0000;0;0</c:formatCode>
                <c:ptCount val="20"/>
                <c:pt idx="0">
                  <c:v>1.3424390850709757E-2</c:v>
                </c:pt>
                <c:pt idx="1">
                  <c:v>1.3943839505372948E-2</c:v>
                </c:pt>
                <c:pt idx="2">
                  <c:v>1.481436047145606E-2</c:v>
                </c:pt>
                <c:pt idx="3">
                  <c:v>1.5956430179525173E-2</c:v>
                </c:pt>
                <c:pt idx="4">
                  <c:v>1.7329893871201384E-2</c:v>
                </c:pt>
                <c:pt idx="5">
                  <c:v>1.8886252475687197E-2</c:v>
                </c:pt>
                <c:pt idx="6">
                  <c:v>2.0573521031916172E-2</c:v>
                </c:pt>
                <c:pt idx="7">
                  <c:v>2.2345999754511015E-2</c:v>
                </c:pt>
                <c:pt idx="8">
                  <c:v>2.4167693866819256E-2</c:v>
                </c:pt>
                <c:pt idx="9">
                  <c:v>2.6012168304723568E-2</c:v>
                </c:pt>
                <c:pt idx="10">
                  <c:v>2.7861560643957544E-2</c:v>
                </c:pt>
                <c:pt idx="11">
                  <c:v>2.9703525591304476E-2</c:v>
                </c:pt>
                <c:pt idx="12">
                  <c:v>3.1529990741840597E-2</c:v>
                </c:pt>
                <c:pt idx="13">
                  <c:v>3.3335849952957103E-2</c:v>
                </c:pt>
                <c:pt idx="14">
                  <c:v>3.5117647293015843E-2</c:v>
                </c:pt>
                <c:pt idx="15">
                  <c:v>3.6873441163690492E-2</c:v>
                </c:pt>
                <c:pt idx="16">
                  <c:v>3.8601782698002511E-2</c:v>
                </c:pt>
                <c:pt idx="17">
                  <c:v>4.0301970793829044E-2</c:v>
                </c:pt>
                <c:pt idx="18">
                  <c:v>4.1974150020392564E-2</c:v>
                </c:pt>
                <c:pt idx="19">
                  <c:v>4.3617667511316217E-2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0FB-48D9-8ED7-DCEAEB1DDB60}"/>
            </c:ext>
          </c:extLst>
        </c:ser>
        <c:ser>
          <c:idx val="10"/>
          <c:order val="10"/>
          <c:tx>
            <c:v>Tpr: 1.84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1976'!$CE$10:$CE$29</c:f>
              <c:numCache>
                <c:formatCode>0.0000;0;0</c:formatCode>
                <c:ptCount val="20"/>
                <c:pt idx="0">
                  <c:v>1.3831459724318896E-2</c:v>
                </c:pt>
                <c:pt idx="1">
                  <c:v>1.4317270135729717E-2</c:v>
                </c:pt>
                <c:pt idx="2">
                  <c:v>1.5128514214701266E-2</c:v>
                </c:pt>
                <c:pt idx="3">
                  <c:v>1.6183837333795456E-2</c:v>
                </c:pt>
                <c:pt idx="4">
                  <c:v>1.7445392676433732E-2</c:v>
                </c:pt>
                <c:pt idx="5">
                  <c:v>1.8872003560960544E-2</c:v>
                </c:pt>
                <c:pt idx="6">
                  <c:v>2.0421073474251362E-2</c:v>
                </c:pt>
                <c:pt idx="7">
                  <c:v>2.2054145662678538E-2</c:v>
                </c:pt>
                <c:pt idx="8">
                  <c:v>2.3740176638314247E-2</c:v>
                </c:pt>
                <c:pt idx="9">
                  <c:v>2.5455796590784938E-2</c:v>
                </c:pt>
                <c:pt idx="10">
                  <c:v>2.7183922663437925E-2</c:v>
                </c:pt>
                <c:pt idx="11">
                  <c:v>2.8912521985952181E-2</c:v>
                </c:pt>
                <c:pt idx="12">
                  <c:v>3.0633135716705864E-2</c:v>
                </c:pt>
                <c:pt idx="13">
                  <c:v>3.2340416015612966E-2</c:v>
                </c:pt>
                <c:pt idx="14">
                  <c:v>3.4030002143147692E-2</c:v>
                </c:pt>
                <c:pt idx="15">
                  <c:v>3.5699456101786153E-2</c:v>
                </c:pt>
                <c:pt idx="16">
                  <c:v>3.7347215541433304E-2</c:v>
                </c:pt>
                <c:pt idx="17">
                  <c:v>3.897166267657922E-2</c:v>
                </c:pt>
                <c:pt idx="18">
                  <c:v>4.0572349490187551E-2</c:v>
                </c:pt>
                <c:pt idx="19">
                  <c:v>4.2149079876646518E-2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0FB-48D9-8ED7-DCEAEB1DDB60}"/>
            </c:ext>
          </c:extLst>
        </c:ser>
        <c:ser>
          <c:idx val="11"/>
          <c:order val="11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1976'!$CJ$10:$CJ$29</c:f>
              <c:numCache>
                <c:formatCode>0.0000;0;0</c:formatCode>
                <c:ptCount val="20"/>
                <c:pt idx="0">
                  <c:v>1.4234762186352761E-2</c:v>
                </c:pt>
                <c:pt idx="1">
                  <c:v>1.469057928394021E-2</c:v>
                </c:pt>
                <c:pt idx="2">
                  <c:v>1.5449989388545743E-2</c:v>
                </c:pt>
                <c:pt idx="3">
                  <c:v>1.6431009044944427E-2</c:v>
                </c:pt>
                <c:pt idx="4">
                  <c:v>1.7597784202460276E-2</c:v>
                </c:pt>
                <c:pt idx="5">
                  <c:v>1.8914490435209038E-2</c:v>
                </c:pt>
                <c:pt idx="6">
                  <c:v>2.0345285788884414E-2</c:v>
                </c:pt>
                <c:pt idx="7">
                  <c:v>2.1857760659945144E-2</c:v>
                </c:pt>
                <c:pt idx="8">
                  <c:v>2.3425079040902342E-2</c:v>
                </c:pt>
                <c:pt idx="9">
                  <c:v>2.5025962934342231E-2</c:v>
                </c:pt>
                <c:pt idx="10">
                  <c:v>2.6645160808679076E-2</c:v>
                </c:pt>
                <c:pt idx="11">
                  <c:v>2.8270841276600955E-2</c:v>
                </c:pt>
                <c:pt idx="12">
                  <c:v>2.9895050876936776E-2</c:v>
                </c:pt>
                <c:pt idx="13">
                  <c:v>3.1511155998286827E-2</c:v>
                </c:pt>
                <c:pt idx="14">
                  <c:v>3.3115360498222696E-2</c:v>
                </c:pt>
                <c:pt idx="15">
                  <c:v>3.4704755695405987E-2</c:v>
                </c:pt>
                <c:pt idx="16">
                  <c:v>3.6276757531803379E-2</c:v>
                </c:pt>
                <c:pt idx="17">
                  <c:v>3.7830147401745055E-2</c:v>
                </c:pt>
                <c:pt idx="18">
                  <c:v>3.9364140576697168E-2</c:v>
                </c:pt>
                <c:pt idx="19">
                  <c:v>4.0877763081890707E-2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0FB-48D9-8ED7-DCEAEB1DD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11184"/>
        <c:axId val="54961174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0FB-48D9-8ED7-DCEAEB1DD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21888"/>
        <c:axId val="549608944"/>
      </c:scatterChart>
      <c:valAx>
        <c:axId val="549611184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9611744"/>
        <c:crossesAt val="0"/>
        <c:crossBetween val="midCat"/>
      </c:valAx>
      <c:valAx>
        <c:axId val="549611744"/>
        <c:scaling>
          <c:orientation val="minMax"/>
          <c:max val="6.3337312118207409E-2"/>
          <c:min val="1.0467253074657857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49611184"/>
        <c:crossesAt val="0"/>
        <c:crossBetween val="midCat"/>
      </c:valAx>
      <c:valAx>
        <c:axId val="549608944"/>
        <c:scaling>
          <c:orientation val="minMax"/>
          <c:max val="6.3337312118207409E-2"/>
          <c:min val="1.0467253074657857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7521888"/>
        <c:crosses val="max"/>
        <c:crossBetween val="midCat"/>
      </c:valAx>
      <c:valAx>
        <c:axId val="547521888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4960894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9.069860858738811E-2"/>
          <c:w val="0.82479130212890051"/>
          <c:h val="0.78562992125984243"/>
        </c:manualLayout>
      </c:layout>
      <c:scatterChart>
        <c:scatterStyle val="smoothMarker"/>
        <c:varyColors val="0"/>
        <c:ser>
          <c:idx val="2"/>
          <c:order val="1"/>
          <c:tx>
            <c:v>Axis_2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96-4BDF-BEEB-81F1C77A112D}"/>
            </c:ext>
          </c:extLst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1976'!$AO$10:$AO$29</c:f>
              <c:numCache>
                <c:formatCode>0.0000;0;0</c:formatCode>
                <c:ptCount val="20"/>
                <c:pt idx="0">
                  <c:v>14.712762479999999</c:v>
                </c:pt>
                <c:pt idx="1">
                  <c:v>2.4744181162993588E-2</c:v>
                </c:pt>
                <c:pt idx="2">
                  <c:v>1.1025720615454709E-2</c:v>
                </c:pt>
                <c:pt idx="3">
                  <c:v>6.750977459029364E-3</c:v>
                </c:pt>
                <c:pt idx="4">
                  <c:v>4.906684247762398E-3</c:v>
                </c:pt>
                <c:pt idx="5">
                  <c:v>3.9842975170192073E-3</c:v>
                </c:pt>
                <c:pt idx="6">
                  <c:v>3.4578579234972673E-3</c:v>
                </c:pt>
                <c:pt idx="7">
                  <c:v>3.1217246121948302E-3</c:v>
                </c:pt>
                <c:pt idx="8">
                  <c:v>2.8881885488624137E-3</c:v>
                </c:pt>
                <c:pt idx="9">
                  <c:v>2.7157084711559366E-3</c:v>
                </c:pt>
                <c:pt idx="10">
                  <c:v>2.5823586688274061E-3</c:v>
                </c:pt>
                <c:pt idx="11">
                  <c:v>2.475639143403415E-3</c:v>
                </c:pt>
                <c:pt idx="12">
                  <c:v>2.3879576704833316E-3</c:v>
                </c:pt>
                <c:pt idx="13">
                  <c:v>2.3143264049853701E-3</c:v>
                </c:pt>
                <c:pt idx="14">
                  <c:v>2.2514520592562025E-3</c:v>
                </c:pt>
                <c:pt idx="15">
                  <c:v>2.196975712322434E-3</c:v>
                </c:pt>
                <c:pt idx="16">
                  <c:v>2.1492408335619228E-3</c:v>
                </c:pt>
                <c:pt idx="17">
                  <c:v>2.106956692785782E-3</c:v>
                </c:pt>
                <c:pt idx="18">
                  <c:v>2.0691972167275014E-3</c:v>
                </c:pt>
                <c:pt idx="19">
                  <c:v>2.0352228E-3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96-4BDF-BEEB-81F1C77A112D}"/>
            </c:ext>
          </c:extLst>
        </c:ser>
        <c:ser>
          <c:idx val="3"/>
          <c:order val="3"/>
          <c:tx>
            <c:v>Tpr: 1.45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1976'!$AT$10:$AT$29</c:f>
              <c:numCache>
                <c:formatCode>0.0000;0;0</c:formatCode>
                <c:ptCount val="20"/>
                <c:pt idx="0">
                  <c:v>15.310381755555554</c:v>
                </c:pt>
                <c:pt idx="1">
                  <c:v>2.6175110327184142E-2</c:v>
                </c:pt>
                <c:pt idx="2">
                  <c:v>1.1899377610931291E-2</c:v>
                </c:pt>
                <c:pt idx="3">
                  <c:v>7.3977645959976395E-3</c:v>
                </c:pt>
                <c:pt idx="4">
                  <c:v>5.386190786860077E-3</c:v>
                </c:pt>
                <c:pt idx="5">
                  <c:v>4.3407639294108106E-3</c:v>
                </c:pt>
                <c:pt idx="6">
                  <c:v>3.7311788349335597E-3</c:v>
                </c:pt>
                <c:pt idx="7">
                  <c:v>3.3394316762132893E-3</c:v>
                </c:pt>
                <c:pt idx="8">
                  <c:v>3.0675908085991584E-3</c:v>
                </c:pt>
                <c:pt idx="9">
                  <c:v>2.8675635850928067E-3</c:v>
                </c:pt>
                <c:pt idx="10">
                  <c:v>2.7137598659733551E-3</c:v>
                </c:pt>
                <c:pt idx="11">
                  <c:v>2.5913009045844468E-3</c:v>
                </c:pt>
                <c:pt idx="12">
                  <c:v>2.4911840898759864E-3</c:v>
                </c:pt>
                <c:pt idx="13">
                  <c:v>2.407545555682216E-3</c:v>
                </c:pt>
                <c:pt idx="14">
                  <c:v>2.3363940239862044E-3</c:v>
                </c:pt>
                <c:pt idx="15">
                  <c:v>2.2750355763283274E-3</c:v>
                </c:pt>
                <c:pt idx="16">
                  <c:v>2.2214214902345126E-3</c:v>
                </c:pt>
                <c:pt idx="17">
                  <c:v>2.1741142034812323E-3</c:v>
                </c:pt>
                <c:pt idx="18">
                  <c:v>2.1319796283668794E-3</c:v>
                </c:pt>
                <c:pt idx="19">
                  <c:v>2.094159468111111E-3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96-4BDF-BEEB-81F1C77A112D}"/>
            </c:ext>
          </c:extLst>
        </c:ser>
        <c:ser>
          <c:idx val="4"/>
          <c:order val="4"/>
          <c:tx>
            <c:v>Tpr: 1.5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1976'!$AY$10:$AY$29</c:f>
              <c:numCache>
                <c:formatCode>0.0000;0;0</c:formatCode>
                <c:ptCount val="20"/>
                <c:pt idx="0">
                  <c:v>15.908184037777776</c:v>
                </c:pt>
                <c:pt idx="1">
                  <c:v>2.7572919234448951E-2</c:v>
                </c:pt>
                <c:pt idx="2">
                  <c:v>1.2732124265828003E-2</c:v>
                </c:pt>
                <c:pt idx="3">
                  <c:v>8.0112910309457445E-3</c:v>
                </c:pt>
                <c:pt idx="4">
                  <c:v>5.8517590782111838E-3</c:v>
                </c:pt>
                <c:pt idx="5">
                  <c:v>4.6967078445376443E-3</c:v>
                </c:pt>
                <c:pt idx="6">
                  <c:v>4.0094323722122665E-3</c:v>
                </c:pt>
                <c:pt idx="7">
                  <c:v>3.5634598173416836E-3</c:v>
                </c:pt>
                <c:pt idx="8">
                  <c:v>3.2531269269464183E-3</c:v>
                </c:pt>
                <c:pt idx="9">
                  <c:v>3.0250494500816552E-3</c:v>
                </c:pt>
                <c:pt idx="10">
                  <c:v>2.8501053088204652E-3</c:v>
                </c:pt>
                <c:pt idx="11">
                  <c:v>2.7113329291805766E-3</c:v>
                </c:pt>
                <c:pt idx="12">
                  <c:v>2.5982508560053359E-3</c:v>
                </c:pt>
                <c:pt idx="13">
                  <c:v>2.5041253146628755E-3</c:v>
                </c:pt>
                <c:pt idx="14">
                  <c:v>2.4243512702109165E-3</c:v>
                </c:pt>
                <c:pt idx="15">
                  <c:v>2.3557535183883365E-3</c:v>
                </c:pt>
                <c:pt idx="16">
                  <c:v>2.2959968088513008E-3</c:v>
                </c:pt>
                <c:pt idx="17">
                  <c:v>2.2434117358811423E-3</c:v>
                </c:pt>
                <c:pt idx="18">
                  <c:v>2.1967168667167232E-3</c:v>
                </c:pt>
                <c:pt idx="19">
                  <c:v>2.1549071475555552E-3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96-4BDF-BEEB-81F1C77A112D}"/>
            </c:ext>
          </c:extLst>
        </c:ser>
        <c:ser>
          <c:idx val="5"/>
          <c:order val="5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1976'!$BD$10:$BD$29</c:f>
              <c:numCache>
                <c:formatCode>0.0000;0;0</c:formatCode>
                <c:ptCount val="20"/>
                <c:pt idx="0">
                  <c:v>16.505857083333332</c:v>
                </c:pt>
                <c:pt idx="1">
                  <c:v>2.8942653213468374E-2</c:v>
                </c:pt>
                <c:pt idx="2">
                  <c:v>1.353253047690463E-2</c:v>
                </c:pt>
                <c:pt idx="3">
                  <c:v>8.5977005910068214E-3</c:v>
                </c:pt>
                <c:pt idx="4">
                  <c:v>6.3024906024706593E-3</c:v>
                </c:pt>
                <c:pt idx="5">
                  <c:v>5.0484775153983308E-3</c:v>
                </c:pt>
                <c:pt idx="6">
                  <c:v>4.2891311127152077E-3</c:v>
                </c:pt>
                <c:pt idx="7">
                  <c:v>3.7911678435608243E-3</c:v>
                </c:pt>
                <c:pt idx="8">
                  <c:v>3.4430207237521699E-3</c:v>
                </c:pt>
                <c:pt idx="9">
                  <c:v>3.186831723086861E-3</c:v>
                </c:pt>
                <c:pt idx="10">
                  <c:v>2.9904639637157882E-3</c:v>
                </c:pt>
                <c:pt idx="11">
                  <c:v>2.834982328391961E-3</c:v>
                </c:pt>
                <c:pt idx="12">
                  <c:v>2.7085944624582023E-3</c:v>
                </c:pt>
                <c:pt idx="13">
                  <c:v>2.6036545671463212E-3</c:v>
                </c:pt>
                <c:pt idx="14">
                  <c:v>2.5149361554579657E-3</c:v>
                </c:pt>
                <c:pt idx="15">
                  <c:v>2.4388367986286591E-3</c:v>
                </c:pt>
                <c:pt idx="16">
                  <c:v>2.3727221404841663E-3</c:v>
                </c:pt>
                <c:pt idx="17">
                  <c:v>2.3146799691234881E-3</c:v>
                </c:pt>
                <c:pt idx="18">
                  <c:v>2.2632406525828243E-3</c:v>
                </c:pt>
                <c:pt idx="19">
                  <c:v>2.2172672666666668E-3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96-4BDF-BEEB-81F1C77A112D}"/>
            </c:ext>
          </c:extLst>
        </c:ser>
        <c:ser>
          <c:idx val="6"/>
          <c:order val="6"/>
          <c:tx>
            <c:v>Tpr: 1.61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1976'!$BI$10:$BI$29</c:f>
              <c:numCache>
                <c:formatCode>0.0000;0;0</c:formatCode>
                <c:ptCount val="20"/>
                <c:pt idx="0">
                  <c:v>17.103382968888887</c:v>
                </c:pt>
                <c:pt idx="1">
                  <c:v>3.0289548432778264E-2</c:v>
                </c:pt>
                <c:pt idx="2">
                  <c:v>1.430690733903058E-2</c:v>
                </c:pt>
                <c:pt idx="3">
                  <c:v>9.1615782069487429E-3</c:v>
                </c:pt>
                <c:pt idx="4">
                  <c:v>6.7392402818335518E-3</c:v>
                </c:pt>
                <c:pt idx="5">
                  <c:v>5.3942283140178829E-3</c:v>
                </c:pt>
                <c:pt idx="6">
                  <c:v>4.5678878877357682E-3</c:v>
                </c:pt>
                <c:pt idx="7">
                  <c:v>4.0205661780580854E-3</c:v>
                </c:pt>
                <c:pt idx="8">
                  <c:v>3.6356241529351329E-3</c:v>
                </c:pt>
                <c:pt idx="9">
                  <c:v>3.3516689865192434E-3</c:v>
                </c:pt>
                <c:pt idx="10">
                  <c:v>3.1338856804989036E-3</c:v>
                </c:pt>
                <c:pt idx="11">
                  <c:v>2.9615420504054859E-3</c:v>
                </c:pt>
                <c:pt idx="12">
                  <c:v>2.821650606275543E-3</c:v>
                </c:pt>
                <c:pt idx="13">
                  <c:v>2.7056569420370762E-3</c:v>
                </c:pt>
                <c:pt idx="14">
                  <c:v>2.607810025977817E-3</c:v>
                </c:pt>
                <c:pt idx="15">
                  <c:v>2.5240227875625138E-3</c:v>
                </c:pt>
                <c:pt idx="16">
                  <c:v>2.4513607521959432E-3</c:v>
                </c:pt>
                <c:pt idx="17">
                  <c:v>2.3876859025201789E-3</c:v>
                </c:pt>
                <c:pt idx="18">
                  <c:v>2.331353631312566E-3</c:v>
                </c:pt>
                <c:pt idx="19">
                  <c:v>2.2811067840000001E-3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96-4BDF-BEEB-81F1C77A112D}"/>
            </c:ext>
          </c:extLst>
        </c:ser>
        <c:ser>
          <c:idx val="7"/>
          <c:order val="7"/>
          <c:tx>
            <c:v>Tpr: 1.67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1976'!$BN$10:$BN$29</c:f>
              <c:numCache>
                <c:formatCode>0.0000;0;0</c:formatCode>
                <c:ptCount val="20"/>
                <c:pt idx="0">
                  <c:v>17.701097835555554</c:v>
                </c:pt>
                <c:pt idx="1">
                  <c:v>3.1616398310763821E-2</c:v>
                </c:pt>
                <c:pt idx="2">
                  <c:v>1.5060165239190574E-2</c:v>
                </c:pt>
                <c:pt idx="3">
                  <c:v>9.7066895529715272E-3</c:v>
                </c:pt>
                <c:pt idx="4">
                  <c:v>7.1630781874441078E-3</c:v>
                </c:pt>
                <c:pt idx="5">
                  <c:v>5.7332770758198922E-3</c:v>
                </c:pt>
                <c:pt idx="6">
                  <c:v>4.8442882557633137E-3</c:v>
                </c:pt>
                <c:pt idx="7">
                  <c:v>4.250062818044866E-3</c:v>
                </c:pt>
                <c:pt idx="8">
                  <c:v>3.8296984358043369E-3</c:v>
                </c:pt>
                <c:pt idx="9">
                  <c:v>3.5185442377427887E-3</c:v>
                </c:pt>
                <c:pt idx="10">
                  <c:v>3.2795304678836967E-3</c:v>
                </c:pt>
                <c:pt idx="11">
                  <c:v>3.0903564199358229E-3</c:v>
                </c:pt>
                <c:pt idx="12">
                  <c:v>2.9368498069502142E-3</c:v>
                </c:pt>
                <c:pt idx="13">
                  <c:v>2.8097289071540312E-3</c:v>
                </c:pt>
                <c:pt idx="14">
                  <c:v>2.7025914695712121E-3</c:v>
                </c:pt>
                <c:pt idx="15">
                  <c:v>2.6109671275097797E-3</c:v>
                </c:pt>
                <c:pt idx="16">
                  <c:v>2.5316384967903139E-3</c:v>
                </c:pt>
                <c:pt idx="17">
                  <c:v>2.462215337097774E-3</c:v>
                </c:pt>
                <c:pt idx="18">
                  <c:v>2.4008948921498325E-3</c:v>
                </c:pt>
                <c:pt idx="19">
                  <c:v>2.3462611507777771E-3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96-4BDF-BEEB-81F1C77A112D}"/>
            </c:ext>
          </c:extLst>
        </c:ser>
        <c:ser>
          <c:idx val="8"/>
          <c:order val="8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1976'!$BS$10:$BS$29</c:f>
              <c:numCache>
                <c:formatCode>0.0000;0;0</c:formatCode>
                <c:ptCount val="20"/>
                <c:pt idx="0">
                  <c:v>18.298653593333334</c:v>
                </c:pt>
                <c:pt idx="1">
                  <c:v>3.2926344548546572E-2</c:v>
                </c:pt>
                <c:pt idx="2">
                  <c:v>1.5795448830756283E-2</c:v>
                </c:pt>
                <c:pt idx="3">
                  <c:v>1.0236182079052702E-2</c:v>
                </c:pt>
                <c:pt idx="4">
                  <c:v>7.5755662021319533E-3</c:v>
                </c:pt>
                <c:pt idx="5">
                  <c:v>6.0653912214320453E-3</c:v>
                </c:pt>
                <c:pt idx="6">
                  <c:v>5.1173938352044269E-3</c:v>
                </c:pt>
                <c:pt idx="7">
                  <c:v>4.4786680525251204E-3</c:v>
                </c:pt>
                <c:pt idx="8">
                  <c:v>4.0242162596876687E-3</c:v>
                </c:pt>
                <c:pt idx="9">
                  <c:v>3.6865797295405115E-3</c:v>
                </c:pt>
                <c:pt idx="10">
                  <c:v>3.4267486633115683E-3</c:v>
                </c:pt>
                <c:pt idx="11">
                  <c:v>3.2208520944842361E-3</c:v>
                </c:pt>
                <c:pt idx="12">
                  <c:v>3.0537811961698249E-3</c:v>
                </c:pt>
                <c:pt idx="13">
                  <c:v>2.9154365999164039E-3</c:v>
                </c:pt>
                <c:pt idx="14">
                  <c:v>2.7989389307175776E-3</c:v>
                </c:pt>
                <c:pt idx="15">
                  <c:v>2.6994291743456258E-3</c:v>
                </c:pt>
                <c:pt idx="16">
                  <c:v>2.6133378338742295E-3</c:v>
                </c:pt>
                <c:pt idx="17">
                  <c:v>2.5380691152545546E-3</c:v>
                </c:pt>
                <c:pt idx="18">
                  <c:v>2.4716623009145983E-3</c:v>
                </c:pt>
                <c:pt idx="19">
                  <c:v>2.4125768866666668E-3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96-4BDF-BEEB-81F1C77A112D}"/>
            </c:ext>
          </c:extLst>
        </c:ser>
        <c:ser>
          <c:idx val="9"/>
          <c:order val="9"/>
          <c:tx>
            <c:v>Tpr: 1.78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1976'!$BX$10:$BX$29</c:f>
              <c:numCache>
                <c:formatCode>0.0000;0;0</c:formatCode>
                <c:ptCount val="20"/>
                <c:pt idx="0">
                  <c:v>18.896221300000001</c:v>
                </c:pt>
                <c:pt idx="1">
                  <c:v>3.4221330134405543E-2</c:v>
                </c:pt>
                <c:pt idx="2">
                  <c:v>1.6515599822606961E-2</c:v>
                </c:pt>
                <c:pt idx="3">
                  <c:v>1.0752062127807422E-2</c:v>
                </c:pt>
                <c:pt idx="4">
                  <c:v>7.9777567790149523E-3</c:v>
                </c:pt>
                <c:pt idx="5">
                  <c:v>6.390905942286652E-3</c:v>
                </c:pt>
                <c:pt idx="6">
                  <c:v>5.3868872527809619E-3</c:v>
                </c:pt>
                <c:pt idx="7">
                  <c:v>4.705654489144109E-3</c:v>
                </c:pt>
                <c:pt idx="8">
                  <c:v>4.2184185272872111E-3</c:v>
                </c:pt>
                <c:pt idx="9">
                  <c:v>3.8551210012681678E-3</c:v>
                </c:pt>
                <c:pt idx="10">
                  <c:v>3.5748447843450661E-3</c:v>
                </c:pt>
                <c:pt idx="11">
                  <c:v>3.3525037409077624E-3</c:v>
                </c:pt>
                <c:pt idx="12">
                  <c:v>3.1719658009507893E-3</c:v>
                </c:pt>
                <c:pt idx="13">
                  <c:v>3.0224626540512473E-3</c:v>
                </c:pt>
                <c:pt idx="14">
                  <c:v>2.8965966268344155E-3</c:v>
                </c:pt>
                <c:pt idx="15">
                  <c:v>2.7891107715128731E-3</c:v>
                </c:pt>
                <c:pt idx="16">
                  <c:v>2.6962069079806295E-3</c:v>
                </c:pt>
                <c:pt idx="17">
                  <c:v>2.6150553540709156E-3</c:v>
                </c:pt>
                <c:pt idx="18">
                  <c:v>2.5434954447181835E-3</c:v>
                </c:pt>
                <c:pt idx="19">
                  <c:v>2.4799046305555555E-3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96-4BDF-BEEB-81F1C77A112D}"/>
            </c:ext>
          </c:extLst>
        </c:ser>
        <c:ser>
          <c:idx val="10"/>
          <c:order val="10"/>
          <c:tx>
            <c:v>Tpr: 1.84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1976'!$CC$10:$CC$29</c:f>
              <c:numCache>
                <c:formatCode>0.0000;0;0</c:formatCode>
                <c:ptCount val="20"/>
                <c:pt idx="0">
                  <c:v>19.493995911111114</c:v>
                </c:pt>
                <c:pt idx="1">
                  <c:v>3.5503238419164911E-2</c:v>
                </c:pt>
                <c:pt idx="2">
                  <c:v>1.722258839857959E-2</c:v>
                </c:pt>
                <c:pt idx="3">
                  <c:v>1.1256354353708052E-2</c:v>
                </c:pt>
                <c:pt idx="4">
                  <c:v>8.3708558570678646E-3</c:v>
                </c:pt>
                <c:pt idx="5">
                  <c:v>6.7101884438231091E-3</c:v>
                </c:pt>
                <c:pt idx="6">
                  <c:v>5.6524260479920308E-3</c:v>
                </c:pt>
                <c:pt idx="7">
                  <c:v>4.9305527874570765E-3</c:v>
                </c:pt>
                <c:pt idx="8">
                  <c:v>4.4118248105078656E-3</c:v>
                </c:pt>
                <c:pt idx="9">
                  <c:v>4.0236227133057653E-3</c:v>
                </c:pt>
                <c:pt idx="10">
                  <c:v>3.7234165479800903E-3</c:v>
                </c:pt>
                <c:pt idx="11">
                  <c:v>3.4848883446451972E-3</c:v>
                </c:pt>
                <c:pt idx="12">
                  <c:v>3.2910417405512208E-3</c:v>
                </c:pt>
                <c:pt idx="13">
                  <c:v>3.1304373144134517E-3</c:v>
                </c:pt>
                <c:pt idx="14">
                  <c:v>2.9952336706770334E-3</c:v>
                </c:pt>
                <c:pt idx="15">
                  <c:v>2.8798044122438321E-3</c:v>
                </c:pt>
                <c:pt idx="16">
                  <c:v>2.7800556979869222E-3</c:v>
                </c:pt>
                <c:pt idx="17">
                  <c:v>2.6929776722730936E-3</c:v>
                </c:pt>
                <c:pt idx="18">
                  <c:v>2.616250240723891E-3</c:v>
                </c:pt>
                <c:pt idx="19">
                  <c:v>2.5480886066666666E-3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496-4BDF-BEEB-81F1C77A112D}"/>
            </c:ext>
          </c:extLst>
        </c:ser>
        <c:ser>
          <c:idx val="11"/>
          <c:order val="11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1976'!$CH$10:$CH$29</c:f>
              <c:numCache>
                <c:formatCode>0.0000;0;0</c:formatCode>
                <c:ptCount val="20"/>
                <c:pt idx="0">
                  <c:v>20.091593489999998</c:v>
                </c:pt>
                <c:pt idx="1">
                  <c:v>3.677416088836627E-2</c:v>
                </c:pt>
                <c:pt idx="2">
                  <c:v>1.7918211631372624E-2</c:v>
                </c:pt>
                <c:pt idx="3">
                  <c:v>1.1750625614796903E-2</c:v>
                </c:pt>
                <c:pt idx="4">
                  <c:v>8.7558940908335492E-3</c:v>
                </c:pt>
                <c:pt idx="5">
                  <c:v>7.0236039007415497E-3</c:v>
                </c:pt>
                <c:pt idx="6">
                  <c:v>5.9141962844062842E-3</c:v>
                </c:pt>
                <c:pt idx="7">
                  <c:v>5.1531921928767597E-3</c:v>
                </c:pt>
                <c:pt idx="8">
                  <c:v>4.6039967205796098E-3</c:v>
                </c:pt>
                <c:pt idx="9">
                  <c:v>4.1917162835075159E-3</c:v>
                </c:pt>
                <c:pt idx="10">
                  <c:v>3.8720680632947225E-3</c:v>
                </c:pt>
                <c:pt idx="11">
                  <c:v>3.6176763030040292E-3</c:v>
                </c:pt>
                <c:pt idx="12">
                  <c:v>3.410665355215827E-3</c:v>
                </c:pt>
                <c:pt idx="13">
                  <c:v>3.2391146290347565E-3</c:v>
                </c:pt>
                <c:pt idx="14">
                  <c:v>3.0946308931857533E-3</c:v>
                </c:pt>
                <c:pt idx="15">
                  <c:v>2.9712632391592094E-3</c:v>
                </c:pt>
                <c:pt idx="16">
                  <c:v>2.864702173440634E-3</c:v>
                </c:pt>
                <c:pt idx="17">
                  <c:v>2.7716867807324307E-3</c:v>
                </c:pt>
                <c:pt idx="18">
                  <c:v>2.6897447681696984E-3</c:v>
                </c:pt>
                <c:pt idx="19">
                  <c:v>2.6169926919999997E-3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96-4BDF-BEEB-81F1C77A1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519328"/>
        <c:axId val="426846896"/>
      </c:scatterChart>
      <c:scatterChart>
        <c:scatterStyle val="smoothMarker"/>
        <c:varyColors val="0"/>
        <c:ser>
          <c:idx val="1"/>
          <c:order val="0"/>
          <c:tx>
            <c:v>Axis_1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496-4BDF-BEEB-81F1C77A1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115968"/>
        <c:axId val="430197280"/>
      </c:scatterChart>
      <c:valAx>
        <c:axId val="420519328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426846896"/>
        <c:crossesAt val="0"/>
        <c:crossBetween val="midCat"/>
      </c:valAx>
      <c:valAx>
        <c:axId val="426846896"/>
        <c:scaling>
          <c:logBase val="10"/>
          <c:orientation val="minMax"/>
          <c:max val="1"/>
          <c:min val="1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420519328"/>
        <c:crossesAt val="0"/>
        <c:crossBetween val="midCat"/>
      </c:valAx>
      <c:valAx>
        <c:axId val="430197280"/>
        <c:scaling>
          <c:logBase val="10"/>
          <c:orientation val="minMax"/>
          <c:max val="1"/>
          <c:min val="1E-3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430115968"/>
        <c:crosses val="max"/>
        <c:crossBetween val="midCat"/>
      </c:valAx>
      <c:valAx>
        <c:axId val="430115968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43019728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</a:t>
            </a:r>
          </a:p>
        </c:rich>
      </c:tx>
      <c:layout>
        <c:manualLayout>
          <c:xMode val="edge"/>
          <c:yMode val="edge"/>
          <c:x val="0.4072488584474885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9.069860858738811E-2"/>
          <c:w val="0.84530568430719188"/>
          <c:h val="0.7856299212598424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CF-4E7B-B083-36BAF3490715}"/>
            </c:ext>
          </c:extLst>
        </c:ser>
        <c:ser>
          <c:idx val="0"/>
          <c:order val="2"/>
          <c:tx>
            <c:v>Tpr: 1.39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1976'!$AP$10:$AP$29</c:f>
              <c:numCache>
                <c:formatCode>0.0000;0;0</c:formatCode>
                <c:ptCount val="20"/>
                <c:pt idx="0">
                  <c:v>3.4259523495789586E-3</c:v>
                </c:pt>
                <c:pt idx="1">
                  <c:v>2.0370535947472441</c:v>
                </c:pt>
                <c:pt idx="2">
                  <c:v>4.5716035209980141</c:v>
                </c:pt>
                <c:pt idx="3">
                  <c:v>7.4663592780533818</c:v>
                </c:pt>
                <c:pt idx="4">
                  <c:v>10.272766830296753</c:v>
                </c:pt>
                <c:pt idx="5">
                  <c:v>12.650968701971598</c:v>
                </c:pt>
                <c:pt idx="6">
                  <c:v>14.577008165845474</c:v>
                </c:pt>
                <c:pt idx="7">
                  <c:v>16.146595055261486</c:v>
                </c:pt>
                <c:pt idx="8">
                  <c:v>17.452192727170296</c:v>
                </c:pt>
                <c:pt idx="9">
                  <c:v>18.560616399925372</c:v>
                </c:pt>
                <c:pt idx="10">
                  <c:v>19.519063635742388</c:v>
                </c:pt>
                <c:pt idx="11">
                  <c:v>20.360488854550081</c:v>
                </c:pt>
                <c:pt idx="12">
                  <c:v>21.108089062965231</c:v>
                </c:pt>
                <c:pt idx="13">
                  <c:v>21.779651771925302</c:v>
                </c:pt>
                <c:pt idx="14">
                  <c:v>22.387873186074046</c:v>
                </c:pt>
                <c:pt idx="15">
                  <c:v>22.943004287411775</c:v>
                </c:pt>
                <c:pt idx="16">
                  <c:v>23.452570972987189</c:v>
                </c:pt>
                <c:pt idx="17">
                  <c:v>23.923236466957569</c:v>
                </c:pt>
                <c:pt idx="18">
                  <c:v>24.359796533493572</c:v>
                </c:pt>
                <c:pt idx="19">
                  <c:v>24.766439913680774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CF-4E7B-B083-36BAF3490715}"/>
            </c:ext>
          </c:extLst>
        </c:ser>
        <c:ser>
          <c:idx val="3"/>
          <c:order val="3"/>
          <c:tx>
            <c:v>Tpr: 1.45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1976'!$AU$10:$AU$29</c:f>
              <c:numCache>
                <c:formatCode>0.0000;0;0</c:formatCode>
                <c:ptCount val="20"/>
                <c:pt idx="0">
                  <c:v>3.2922251052860262E-3</c:v>
                </c:pt>
                <c:pt idx="1">
                  <c:v>1.9256928645991163</c:v>
                </c:pt>
                <c:pt idx="2">
                  <c:v>4.2359545881499452</c:v>
                </c:pt>
                <c:pt idx="3">
                  <c:v>6.8135749026703989</c:v>
                </c:pt>
                <c:pt idx="4">
                  <c:v>9.3582320385159008</c:v>
                </c:pt>
                <c:pt idx="5">
                  <c:v>11.61206276287751</c:v>
                </c:pt>
                <c:pt idx="6">
                  <c:v>13.509195194620226</c:v>
                </c:pt>
                <c:pt idx="7">
                  <c:v>15.093952526769334</c:v>
                </c:pt>
                <c:pt idx="8">
                  <c:v>16.43153416872152</c:v>
                </c:pt>
                <c:pt idx="9">
                  <c:v>17.577717700555127</c:v>
                </c:pt>
                <c:pt idx="10">
                  <c:v>18.573943781526925</c:v>
                </c:pt>
                <c:pt idx="11">
                  <c:v>19.451705935801524</c:v>
                </c:pt>
                <c:pt idx="12">
                  <c:v>20.233439749393376</c:v>
                </c:pt>
                <c:pt idx="13">
                  <c:v>20.936352821315577</c:v>
                </c:pt>
                <c:pt idx="14">
                  <c:v>21.573939442438313</c:v>
                </c:pt>
                <c:pt idx="15">
                  <c:v>22.155795589140613</c:v>
                </c:pt>
                <c:pt idx="16">
                  <c:v>22.690526497892087</c:v>
                </c:pt>
                <c:pt idx="17">
                  <c:v>23.184257343263454</c:v>
                </c:pt>
                <c:pt idx="18">
                  <c:v>23.642450667206472</c:v>
                </c:pt>
                <c:pt idx="19">
                  <c:v>24.06942926491535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CF-4E7B-B083-36BAF3490715}"/>
            </c:ext>
          </c:extLst>
        </c:ser>
        <c:ser>
          <c:idx val="4"/>
          <c:order val="4"/>
          <c:tx>
            <c:v>Tpr: 1.5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1976'!$AZ$10:$AZ$29</c:f>
              <c:numCache>
                <c:formatCode>0.0000;0;0</c:formatCode>
                <c:ptCount val="20"/>
                <c:pt idx="0">
                  <c:v>3.1685089302118906E-3</c:v>
                </c:pt>
                <c:pt idx="1">
                  <c:v>1.8280698811237239</c:v>
                </c:pt>
                <c:pt idx="2">
                  <c:v>3.9589012905282979</c:v>
                </c:pt>
                <c:pt idx="3">
                  <c:v>6.2917728231878662</c:v>
                </c:pt>
                <c:pt idx="4">
                  <c:v>8.6136873568215044</c:v>
                </c:pt>
                <c:pt idx="5">
                  <c:v>10.73203291658333</c:v>
                </c:pt>
                <c:pt idx="6">
                  <c:v>12.571660651141316</c:v>
                </c:pt>
                <c:pt idx="7">
                  <c:v>14.14502359248015</c:v>
                </c:pt>
                <c:pt idx="8">
                  <c:v>15.49439180181836</c:v>
                </c:pt>
                <c:pt idx="9">
                  <c:v>16.662611312285343</c:v>
                </c:pt>
                <c:pt idx="10">
                  <c:v>17.685389740217587</c:v>
                </c:pt>
                <c:pt idx="11">
                  <c:v>18.590569474028658</c:v>
                </c:pt>
                <c:pt idx="12">
                  <c:v>19.399675389561235</c:v>
                </c:pt>
                <c:pt idx="13">
                  <c:v>20.128874099074022</c:v>
                </c:pt>
                <c:pt idx="14">
                  <c:v>20.79122106045628</c:v>
                </c:pt>
                <c:pt idx="15">
                  <c:v>21.396645614112177</c:v>
                </c:pt>
                <c:pt idx="16">
                  <c:v>21.953524932106124</c:v>
                </c:pt>
                <c:pt idx="17">
                  <c:v>22.46811068203472</c:v>
                </c:pt>
                <c:pt idx="18">
                  <c:v>22.945707729048511</c:v>
                </c:pt>
                <c:pt idx="19">
                  <c:v>23.390902593798948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CF-4E7B-B083-36BAF3490715}"/>
            </c:ext>
          </c:extLst>
        </c:ser>
        <c:ser>
          <c:idx val="5"/>
          <c:order val="5"/>
          <c:tx>
            <c:v>Tpr: 1.56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1976'!$BE$10:$BE$29</c:f>
              <c:numCache>
                <c:formatCode>0.0000;0;0</c:formatCode>
                <c:ptCount val="20"/>
                <c:pt idx="0">
                  <c:v>3.0537779972691897E-3</c:v>
                </c:pt>
                <c:pt idx="1">
                  <c:v>1.7415550266033395</c:v>
                </c:pt>
                <c:pt idx="2">
                  <c:v>3.7247448489532315</c:v>
                </c:pt>
                <c:pt idx="3">
                  <c:v>5.8626399760741732</c:v>
                </c:pt>
                <c:pt idx="4">
                  <c:v>7.99766732970512</c:v>
                </c:pt>
                <c:pt idx="5">
                  <c:v>9.9842423846421955</c:v>
                </c:pt>
                <c:pt idx="6">
                  <c:v>11.751849468468317</c:v>
                </c:pt>
                <c:pt idx="7">
                  <c:v>13.295434353497372</c:v>
                </c:pt>
                <c:pt idx="8">
                  <c:v>14.639825673840855</c:v>
                </c:pt>
                <c:pt idx="9">
                  <c:v>15.81671941508387</c:v>
                </c:pt>
                <c:pt idx="10">
                  <c:v>16.855318705971747</c:v>
                </c:pt>
                <c:pt idx="11">
                  <c:v>17.779730999502785</c:v>
                </c:pt>
                <c:pt idx="12">
                  <c:v>18.609365073207584</c:v>
                </c:pt>
                <c:pt idx="13">
                  <c:v>19.359412659106571</c:v>
                </c:pt>
                <c:pt idx="14">
                  <c:v>20.042347030465447</c:v>
                </c:pt>
                <c:pt idx="15">
                  <c:v>20.667731114888717</c:v>
                </c:pt>
                <c:pt idx="16">
                  <c:v>21.243626603858338</c:v>
                </c:pt>
                <c:pt idx="17">
                  <c:v>21.7763249604827</c:v>
                </c:pt>
                <c:pt idx="18">
                  <c:v>22.271260959204842</c:v>
                </c:pt>
                <c:pt idx="19">
                  <c:v>22.733038973208643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CF-4E7B-B083-36BAF3490715}"/>
            </c:ext>
          </c:extLst>
        </c:ser>
        <c:ser>
          <c:idx val="6"/>
          <c:order val="6"/>
          <c:tx>
            <c:v>Tpr: 1.61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1976'!$BJ$10:$BJ$29</c:f>
              <c:numCache>
                <c:formatCode>0.0000;0;0</c:formatCode>
                <c:ptCount val="20"/>
                <c:pt idx="0">
                  <c:v>2.9470908345349228E-3</c:v>
                </c:pt>
                <c:pt idx="1">
                  <c:v>1.6641127317899007</c:v>
                </c:pt>
                <c:pt idx="2">
                  <c:v>3.523138998016921</c:v>
                </c:pt>
                <c:pt idx="3">
                  <c:v>5.5018056985992319</c:v>
                </c:pt>
                <c:pt idx="4">
                  <c:v>7.4793628182432643</c:v>
                </c:pt>
                <c:pt idx="5">
                  <c:v>9.3442880525034493</c:v>
                </c:pt>
                <c:pt idx="6">
                  <c:v>11.034689209970567</c:v>
                </c:pt>
                <c:pt idx="7">
                  <c:v>12.536847039662115</c:v>
                </c:pt>
                <c:pt idx="8">
                  <c:v>13.864255783002131</c:v>
                </c:pt>
                <c:pt idx="9">
                  <c:v>15.038842854079004</c:v>
                </c:pt>
                <c:pt idx="10">
                  <c:v>16.083938064750594</c:v>
                </c:pt>
                <c:pt idx="11">
                  <c:v>17.019924866591644</c:v>
                </c:pt>
                <c:pt idx="12">
                  <c:v>17.863736592705166</c:v>
                </c:pt>
                <c:pt idx="13">
                  <c:v>18.629569183003401</c:v>
                </c:pt>
                <c:pt idx="14">
                  <c:v>19.328564076769105</c:v>
                </c:pt>
                <c:pt idx="15">
                  <c:v>19.970193389509848</c:v>
                </c:pt>
                <c:pt idx="16">
                  <c:v>20.562140085664602</c:v>
                </c:pt>
                <c:pt idx="17">
                  <c:v>21.110491599397943</c:v>
                </c:pt>
                <c:pt idx="18">
                  <c:v>21.620582356171635</c:v>
                </c:pt>
                <c:pt idx="19">
                  <c:v>22.096827531574746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CF-4E7B-B083-36BAF3490715}"/>
            </c:ext>
          </c:extLst>
        </c:ser>
        <c:ser>
          <c:idx val="7"/>
          <c:order val="7"/>
          <c:tx>
            <c:v>Tpr: 1.67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1976'!$BO$10:$BO$29</c:f>
              <c:numCache>
                <c:formatCode>0.0000;0;0</c:formatCode>
                <c:ptCount val="20"/>
                <c:pt idx="0">
                  <c:v>2.8475761026474861E-3</c:v>
                </c:pt>
                <c:pt idx="1">
                  <c:v>1.5942746764419604</c:v>
                </c:pt>
                <c:pt idx="2">
                  <c:v>3.3469236483531595</c:v>
                </c:pt>
                <c:pt idx="3">
                  <c:v>5.1928335517563244</c:v>
                </c:pt>
                <c:pt idx="4">
                  <c:v>7.0368104142024537</c:v>
                </c:pt>
                <c:pt idx="5">
                  <c:v>8.7916949626832555</c:v>
                </c:pt>
                <c:pt idx="6">
                  <c:v>10.405083373638094</c:v>
                </c:pt>
                <c:pt idx="7">
                  <c:v>11.85987721714212</c:v>
                </c:pt>
                <c:pt idx="8">
                  <c:v>13.161669001378362</c:v>
                </c:pt>
                <c:pt idx="9">
                  <c:v>14.325590295686897</c:v>
                </c:pt>
                <c:pt idx="10">
                  <c:v>15.369646259051212</c:v>
                </c:pt>
                <c:pt idx="11">
                  <c:v>16.310488609660084</c:v>
                </c:pt>
                <c:pt idx="12">
                  <c:v>17.16302381819678</c:v>
                </c:pt>
                <c:pt idx="13">
                  <c:v>17.939532550209083</c:v>
                </c:pt>
                <c:pt idx="14">
                  <c:v>18.650700172286985</c:v>
                </c:pt>
                <c:pt idx="15">
                  <c:v>19.305192568712013</c:v>
                </c:pt>
                <c:pt idx="16">
                  <c:v>19.910118783174763</c:v>
                </c:pt>
                <c:pt idx="17">
                  <c:v>20.471492654483271</c:v>
                </c:pt>
                <c:pt idx="18">
                  <c:v>20.99434812909232</c:v>
                </c:pt>
                <c:pt idx="19">
                  <c:v>21.483210924940721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CF-4E7B-B083-36BAF3490715}"/>
            </c:ext>
          </c:extLst>
        </c:ser>
        <c:ser>
          <c:idx val="8"/>
          <c:order val="8"/>
          <c:tx>
            <c:v>Tpr: 1.73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1976'!$BT$10:$BT$29</c:f>
              <c:numCache>
                <c:formatCode>0.0000;0;0</c:formatCode>
                <c:ptCount val="20"/>
                <c:pt idx="0">
                  <c:v>2.7545864470332969E-3</c:v>
                </c:pt>
                <c:pt idx="1">
                  <c:v>1.5308478325869341</c:v>
                </c:pt>
                <c:pt idx="2">
                  <c:v>3.1911231980319581</c:v>
                </c:pt>
                <c:pt idx="3">
                  <c:v>4.9242210423652253</c:v>
                </c:pt>
                <c:pt idx="4">
                  <c:v>6.6536575408670915</c:v>
                </c:pt>
                <c:pt idx="5">
                  <c:v>8.3103004154202633</c:v>
                </c:pt>
                <c:pt idx="6">
                  <c:v>9.8497838568525129</c:v>
                </c:pt>
                <c:pt idx="7">
                  <c:v>11.254511965613109</c:v>
                </c:pt>
                <c:pt idx="8">
                  <c:v>12.525475753399308</c:v>
                </c:pt>
                <c:pt idx="9">
                  <c:v>13.672625274656831</c:v>
                </c:pt>
                <c:pt idx="10">
                  <c:v>14.70934350301669</c:v>
                </c:pt>
                <c:pt idx="11">
                  <c:v>15.649654721330714</c:v>
                </c:pt>
                <c:pt idx="12">
                  <c:v>16.505839793097618</c:v>
                </c:pt>
                <c:pt idx="13">
                  <c:v>17.289082255672593</c:v>
                </c:pt>
                <c:pt idx="14">
                  <c:v>18.008689876713568</c:v>
                </c:pt>
                <c:pt idx="15">
                  <c:v>18.672548872993481</c:v>
                </c:pt>
                <c:pt idx="16">
                  <c:v>19.287679738072072</c:v>
                </c:pt>
                <c:pt idx="17">
                  <c:v>19.859673199678713</c:v>
                </c:pt>
                <c:pt idx="18">
                  <c:v>20.393248369124496</c:v>
                </c:pt>
                <c:pt idx="19">
                  <c:v>20.892690908929097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CF-4E7B-B083-36BAF3490715}"/>
            </c:ext>
          </c:extLst>
        </c:ser>
        <c:ser>
          <c:idx val="9"/>
          <c:order val="9"/>
          <c:tx>
            <c:v>Tpr: 1.78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1976'!$BY$10:$BY$29</c:f>
              <c:numCache>
                <c:formatCode>0.0000;0;0</c:formatCode>
                <c:ptCount val="20"/>
                <c:pt idx="0">
                  <c:v>2.6674763375656033E-3</c:v>
                </c:pt>
                <c:pt idx="1">
                  <c:v>1.4729182936251968</c:v>
                </c:pt>
                <c:pt idx="2">
                  <c:v>3.051976539063221</c:v>
                </c:pt>
                <c:pt idx="3">
                  <c:v>4.6879586992706344</c:v>
                </c:pt>
                <c:pt idx="4">
                  <c:v>6.3182200941173434</c:v>
                </c:pt>
                <c:pt idx="5">
                  <c:v>7.8870231610885302</c:v>
                </c:pt>
                <c:pt idx="6">
                  <c:v>9.3570221209162341</c:v>
                </c:pt>
                <c:pt idx="7">
                  <c:v>10.711628595647516</c:v>
                </c:pt>
                <c:pt idx="8">
                  <c:v>11.948843591763723</c:v>
                </c:pt>
                <c:pt idx="9">
                  <c:v>13.07487447749941</c:v>
                </c:pt>
                <c:pt idx="10">
                  <c:v>14.099975307427981</c:v>
                </c:pt>
                <c:pt idx="11">
                  <c:v>15.035098267632311</c:v>
                </c:pt>
                <c:pt idx="12">
                  <c:v>15.890846985816902</c:v>
                </c:pt>
                <c:pt idx="13">
                  <c:v>16.676872125976811</c:v>
                </c:pt>
                <c:pt idx="14">
                  <c:v>17.401533482499136</c:v>
                </c:pt>
                <c:pt idx="15">
                  <c:v>18.072148192168168</c:v>
                </c:pt>
                <c:pt idx="16">
                  <c:v>18.694864640379173</c:v>
                </c:pt>
                <c:pt idx="17">
                  <c:v>19.275011945229455</c:v>
                </c:pt>
                <c:pt idx="18">
                  <c:v>19.817304289584833</c:v>
                </c:pt>
                <c:pt idx="19">
                  <c:v>20.32546839346044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CF-4E7B-B083-36BAF3490715}"/>
            </c:ext>
          </c:extLst>
        </c:ser>
        <c:ser>
          <c:idx val="10"/>
          <c:order val="10"/>
          <c:tx>
            <c:v>Tpr: 1.84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1976'!$CD$10:$CD$29</c:f>
              <c:numCache>
                <c:formatCode>0.0000;0;0</c:formatCode>
                <c:ptCount val="20"/>
                <c:pt idx="0">
                  <c:v>2.5856793762033862E-3</c:v>
                </c:pt>
                <c:pt idx="1">
                  <c:v>1.4197359292143905</c:v>
                </c:pt>
                <c:pt idx="2">
                  <c:v>2.92669266782862</c:v>
                </c:pt>
                <c:pt idx="3">
                  <c:v>4.4779350048222959</c:v>
                </c:pt>
                <c:pt idx="4">
                  <c:v>6.0215136955911017</c:v>
                </c:pt>
                <c:pt idx="5">
                  <c:v>7.5117448055504878</c:v>
                </c:pt>
                <c:pt idx="6">
                  <c:v>8.9174493853058188</c:v>
                </c:pt>
                <c:pt idx="7">
                  <c:v>10.223036921008109</c:v>
                </c:pt>
                <c:pt idx="8">
                  <c:v>11.425028271091019</c:v>
                </c:pt>
                <c:pt idx="9">
                  <c:v>12.527323454176633</c:v>
                </c:pt>
                <c:pt idx="10">
                  <c:v>13.537358105822827</c:v>
                </c:pt>
                <c:pt idx="11">
                  <c:v>14.46394208428649</c:v>
                </c:pt>
                <c:pt idx="12">
                  <c:v>15.315886932114905</c:v>
                </c:pt>
                <c:pt idx="13">
                  <c:v>16.101655495566931</c:v>
                </c:pt>
                <c:pt idx="14">
                  <c:v>16.828477751373462</c:v>
                </c:pt>
                <c:pt idx="15">
                  <c:v>17.503002277810712</c:v>
                </c:pt>
                <c:pt idx="16">
                  <c:v>18.131011987872142</c:v>
                </c:pt>
                <c:pt idx="17">
                  <c:v>18.7172822508428</c:v>
                </c:pt>
                <c:pt idx="18">
                  <c:v>19.266208714502209</c:v>
                </c:pt>
                <c:pt idx="19">
                  <c:v>19.781581792436857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CF-4E7B-B083-36BAF3490715}"/>
            </c:ext>
          </c:extLst>
        </c:ser>
        <c:ser>
          <c:idx val="11"/>
          <c:order val="11"/>
          <c:tx>
            <c:v>Tpr: 1.9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'Factor-z EOS PR 1976'!$AM$10:$AM$29</c:f>
              <c:numCache>
                <c:formatCode>0.0000;0;0</c:formatCode>
                <c:ptCount val="20"/>
                <c:pt idx="0">
                  <c:v>1.5E-3</c:v>
                </c:pt>
                <c:pt idx="1">
                  <c:v>0.7984</c:v>
                </c:pt>
                <c:pt idx="2">
                  <c:v>1.5952</c:v>
                </c:pt>
                <c:pt idx="3">
                  <c:v>2.3919999999999999</c:v>
                </c:pt>
                <c:pt idx="4">
                  <c:v>3.1888999999999998</c:v>
                </c:pt>
                <c:pt idx="5">
                  <c:v>3.9857</c:v>
                </c:pt>
                <c:pt idx="6">
                  <c:v>4.7824999999999998</c:v>
                </c:pt>
                <c:pt idx="7">
                  <c:v>5.5793999999999997</c:v>
                </c:pt>
                <c:pt idx="8">
                  <c:v>6.3761999999999999</c:v>
                </c:pt>
                <c:pt idx="9">
                  <c:v>7.173</c:v>
                </c:pt>
                <c:pt idx="10">
                  <c:v>7.9699</c:v>
                </c:pt>
                <c:pt idx="11">
                  <c:v>8.7667000000000002</c:v>
                </c:pt>
                <c:pt idx="12">
                  <c:v>9.5635999999999992</c:v>
                </c:pt>
                <c:pt idx="13">
                  <c:v>10.3604</c:v>
                </c:pt>
                <c:pt idx="14">
                  <c:v>11.1572</c:v>
                </c:pt>
                <c:pt idx="15">
                  <c:v>11.9541</c:v>
                </c:pt>
                <c:pt idx="16">
                  <c:v>12.7509</c:v>
                </c:pt>
                <c:pt idx="17">
                  <c:v>13.547700000000001</c:v>
                </c:pt>
                <c:pt idx="18">
                  <c:v>14.3446</c:v>
                </c:pt>
                <c:pt idx="19">
                  <c:v>15.141400000000001</c:v>
                </c:pt>
              </c:numCache>
            </c:numRef>
          </c:xVal>
          <c:yVal>
            <c:numRef>
              <c:f>'Factor-z EOS PR 1976'!$CI$10:$CI$29</c:f>
              <c:numCache>
                <c:formatCode>0.0000;0;0</c:formatCode>
                <c:ptCount val="20"/>
                <c:pt idx="0">
                  <c:v>2.5087718011137768E-3</c:v>
                </c:pt>
                <c:pt idx="1">
                  <c:v>1.3706695671497737</c:v>
                </c:pt>
                <c:pt idx="2">
                  <c:v>2.8130722096673799</c:v>
                </c:pt>
                <c:pt idx="3">
                  <c:v>4.2895778352159111</c:v>
                </c:pt>
                <c:pt idx="4">
                  <c:v>5.7567191498949049</c:v>
                </c:pt>
                <c:pt idx="5">
                  <c:v>7.1765469550228147</c:v>
                </c:pt>
                <c:pt idx="6">
                  <c:v>8.522751150490981</c:v>
                </c:pt>
                <c:pt idx="7">
                  <c:v>9.7813590684291007</c:v>
                </c:pt>
                <c:pt idx="8">
                  <c:v>10.948144893727788</c:v>
                </c:pt>
                <c:pt idx="9">
                  <c:v>12.024960607537922</c:v>
                </c:pt>
                <c:pt idx="10">
                  <c:v>13.017649060709847</c:v>
                </c:pt>
                <c:pt idx="11">
                  <c:v>13.933038493603719</c:v>
                </c:pt>
                <c:pt idx="12">
                  <c:v>14.778706773465757</c:v>
                </c:pt>
                <c:pt idx="13">
                  <c:v>15.561420005124578</c:v>
                </c:pt>
                <c:pt idx="14">
                  <c:v>16.287959671747387</c:v>
                </c:pt>
                <c:pt idx="15">
                  <c:v>16.964240166555054</c:v>
                </c:pt>
                <c:pt idx="16">
                  <c:v>17.595275227726113</c:v>
                </c:pt>
                <c:pt idx="17">
                  <c:v>18.185757329272729</c:v>
                </c:pt>
                <c:pt idx="18">
                  <c:v>18.739779247327093</c:v>
                </c:pt>
                <c:pt idx="19">
                  <c:v>19.260742814161873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CF-4E7B-B083-36BAF3490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73648"/>
        <c:axId val="331374208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BCF-4E7B-B083-36BAF3490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75328"/>
        <c:axId val="331374768"/>
      </c:scatterChart>
      <c:valAx>
        <c:axId val="331373648"/>
        <c:scaling>
          <c:orientation val="minMax"/>
          <c:max val="15.141400000000001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Ppr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331374208"/>
        <c:crossesAt val="0"/>
        <c:crossBetween val="midCat"/>
      </c:valAx>
      <c:valAx>
        <c:axId val="331374208"/>
        <c:scaling>
          <c:orientation val="minMax"/>
          <c:max val="24.766439913680774"/>
          <c:min val="2.5087718011137768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331373648"/>
        <c:crossesAt val="0"/>
        <c:crossBetween val="midCat"/>
      </c:valAx>
      <c:valAx>
        <c:axId val="331374768"/>
        <c:scaling>
          <c:orientation val="minMax"/>
          <c:max val="24.766439913680774"/>
          <c:min val="2.5087718011137768E-3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331375328"/>
        <c:crosses val="max"/>
        <c:crossBetween val="midCat"/>
      </c:valAx>
      <c:valAx>
        <c:axId val="331375328"/>
        <c:scaling>
          <c:orientation val="minMax"/>
          <c:max val="15.141400000000001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331374768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7708533384545"/>
          <c:y val="8.0418936326426549E-2"/>
          <c:w val="0.78962634434415213"/>
          <c:h val="0.794026783084275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'Brown et al (1948)'!$C$2</c:f>
              <c:strCache>
                <c:ptCount val="1"/>
                <c:pt idx="0">
                  <c:v>(1) Ppc - Gas-Condensate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'Brown et al (1948)'!$C$10:$C$20</c:f>
              <c:numCache>
                <c:formatCode>0.00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E4-471A-94A7-C96F26065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0368"/>
        <c:axId val="331380928"/>
      </c:scatterChart>
      <c:scatterChart>
        <c:scatterStyle val="smoothMarker"/>
        <c:varyColors val="0"/>
        <c:ser>
          <c:idx val="3"/>
          <c:order val="0"/>
          <c:tx>
            <c:strRef>
              <c:f>'Brown et al (1948)'!$C$3</c:f>
              <c:strCache>
                <c:ptCount val="1"/>
                <c:pt idx="0">
                  <c:v>(2) Ppc - Natural Gas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'Brown et al (1948)'!$D$10:$D$20</c:f>
              <c:numCache>
                <c:formatCode>0.00</c:formatCode>
                <c:ptCount val="11"/>
                <c:pt idx="0">
                  <c:v>675.125</c:v>
                </c:pt>
                <c:pt idx="1">
                  <c:v>673.90625</c:v>
                </c:pt>
                <c:pt idx="2">
                  <c:v>672.5</c:v>
                </c:pt>
                <c:pt idx="3">
                  <c:v>670.90625</c:v>
                </c:pt>
                <c:pt idx="4">
                  <c:v>669.125</c:v>
                </c:pt>
                <c:pt idx="5">
                  <c:v>667.15625</c:v>
                </c:pt>
                <c:pt idx="6">
                  <c:v>665</c:v>
                </c:pt>
                <c:pt idx="7">
                  <c:v>662.65625</c:v>
                </c:pt>
                <c:pt idx="8">
                  <c:v>660.125</c:v>
                </c:pt>
                <c:pt idx="9">
                  <c:v>657.40625</c:v>
                </c:pt>
                <c:pt idx="10">
                  <c:v>654.5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4-471A-94A7-C96F260657F1}"/>
            </c:ext>
          </c:extLst>
        </c:ser>
        <c:ser>
          <c:idx val="1"/>
          <c:order val="2"/>
          <c:tx>
            <c:strRef>
              <c:f>'Brown et al (1948)'!$C$4</c:f>
              <c:strCache>
                <c:ptCount val="1"/>
                <c:pt idx="0">
                  <c:v>(3) Tpc - Gas-Condensate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'Brown et al (1948)'!$E$10:$E$20</c:f>
              <c:numCache>
                <c:formatCode>0.00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E4-471A-94A7-C96F260657F1}"/>
            </c:ext>
          </c:extLst>
        </c:ser>
        <c:ser>
          <c:idx val="0"/>
          <c:order val="3"/>
          <c:tx>
            <c:strRef>
              <c:f>'Brown et al (1948)'!$C$5</c:f>
              <c:strCache>
                <c:ptCount val="1"/>
                <c:pt idx="0">
                  <c:v>(4) Tpc - Natural Gas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'Brown et al (1948)'!$F$10:$F$20</c:f>
              <c:numCache>
                <c:formatCode>0.00</c:formatCode>
                <c:ptCount val="11"/>
                <c:pt idx="0">
                  <c:v>327.375</c:v>
                </c:pt>
                <c:pt idx="1">
                  <c:v>342.96875</c:v>
                </c:pt>
                <c:pt idx="2">
                  <c:v>358.5</c:v>
                </c:pt>
                <c:pt idx="3">
                  <c:v>373.96875</c:v>
                </c:pt>
                <c:pt idx="4">
                  <c:v>389.375</c:v>
                </c:pt>
                <c:pt idx="5">
                  <c:v>404.71875</c:v>
                </c:pt>
                <c:pt idx="6">
                  <c:v>420</c:v>
                </c:pt>
                <c:pt idx="7">
                  <c:v>435.21875</c:v>
                </c:pt>
                <c:pt idx="8">
                  <c:v>450.375</c:v>
                </c:pt>
                <c:pt idx="9">
                  <c:v>465.46875</c:v>
                </c:pt>
                <c:pt idx="10">
                  <c:v>480.5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E4-471A-94A7-C96F26065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2048"/>
        <c:axId val="331381488"/>
      </c:scatterChart>
      <c:valAx>
        <c:axId val="331380368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1380928"/>
        <c:crossesAt val="0"/>
        <c:crossBetween val="midCat"/>
      </c:valAx>
      <c:valAx>
        <c:axId val="331380928"/>
        <c:scaling>
          <c:orientation val="minMax"/>
          <c:max val="700"/>
          <c:min val="2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1380368"/>
        <c:crossesAt val="0"/>
        <c:crossBetween val="midCat"/>
      </c:valAx>
      <c:valAx>
        <c:axId val="331381488"/>
        <c:scaling>
          <c:orientation val="minMax"/>
          <c:max val="700"/>
          <c:min val="2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1382048"/>
        <c:crosses val="max"/>
        <c:crossBetween val="midCat"/>
      </c:valAx>
      <c:valAx>
        <c:axId val="331382048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1381488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800" b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sz="800" b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55086262083093285"/>
          <c:y val="0.64346821597049109"/>
          <c:w val="0.3084367598105115"/>
          <c:h val="0.20323797465015367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8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7708533384545"/>
          <c:y val="8.0418936326426549E-2"/>
          <c:w val="0.78962634434415213"/>
          <c:h val="0.794026783084275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'Brown et al (1948)'!$C$8</c:f>
              <c:strCache>
                <c:ptCount val="1"/>
                <c:pt idx="0">
                  <c:v>Gas-Cond.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'Brown et al (1948)'!$C$10:$C$20</c:f>
              <c:numCache>
                <c:formatCode>0.00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xVal>
          <c:y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F-49E4-BDDC-450EECCF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57376"/>
        <c:axId val="339157936"/>
      </c:scatterChart>
      <c:scatterChart>
        <c:scatterStyle val="smoothMarker"/>
        <c:varyColors val="0"/>
        <c:ser>
          <c:idx val="3"/>
          <c:order val="0"/>
          <c:tx>
            <c:strRef>
              <c:f>'Brown et al (1948)'!$D$8</c:f>
              <c:strCache>
                <c:ptCount val="1"/>
                <c:pt idx="0">
                  <c:v>Gas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'Brown et al (1948)'!$D$10:$D$20</c:f>
              <c:numCache>
                <c:formatCode>0.00</c:formatCode>
                <c:ptCount val="11"/>
                <c:pt idx="0">
                  <c:v>675.125</c:v>
                </c:pt>
                <c:pt idx="1">
                  <c:v>673.90625</c:v>
                </c:pt>
                <c:pt idx="2">
                  <c:v>672.5</c:v>
                </c:pt>
                <c:pt idx="3">
                  <c:v>670.90625</c:v>
                </c:pt>
                <c:pt idx="4">
                  <c:v>669.125</c:v>
                </c:pt>
                <c:pt idx="5">
                  <c:v>667.15625</c:v>
                </c:pt>
                <c:pt idx="6">
                  <c:v>665</c:v>
                </c:pt>
                <c:pt idx="7">
                  <c:v>662.65625</c:v>
                </c:pt>
                <c:pt idx="8">
                  <c:v>660.125</c:v>
                </c:pt>
                <c:pt idx="9">
                  <c:v>657.40625</c:v>
                </c:pt>
                <c:pt idx="10">
                  <c:v>654.5</c:v>
                </c:pt>
              </c:numCache>
            </c:numRef>
          </c:xVal>
          <c:y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AF-49E4-BDDC-450EECCF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59056"/>
        <c:axId val="339158496"/>
      </c:scatterChart>
      <c:valAx>
        <c:axId val="339157376"/>
        <c:scaling>
          <c:orientation val="minMax"/>
          <c:max val="680"/>
          <c:min val="620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9157936"/>
        <c:crossesAt val="0"/>
        <c:crossBetween val="midCat"/>
      </c:valAx>
      <c:valAx>
        <c:axId val="339157936"/>
        <c:scaling>
          <c:orientation val="minMax"/>
          <c:max val="1"/>
          <c:min val="0.5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9157376"/>
        <c:crossesAt val="0"/>
        <c:crossBetween val="midCat"/>
      </c:valAx>
      <c:valAx>
        <c:axId val="339158496"/>
        <c:scaling>
          <c:orientation val="minMax"/>
          <c:max val="1"/>
          <c:min val="0.5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9159056"/>
        <c:crosses val="max"/>
        <c:crossBetween val="midCat"/>
      </c:valAx>
      <c:valAx>
        <c:axId val="339159056"/>
        <c:scaling>
          <c:orientation val="minMax"/>
          <c:min val="620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9158496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13673660457077016"/>
          <c:y val="0.63509300659025647"/>
          <c:w val="0.16107903623327571"/>
          <c:h val="0.20323797465015367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8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7708533384545"/>
          <c:y val="8.0418936326426549E-2"/>
          <c:w val="0.78962634434415213"/>
          <c:h val="0.794026783084275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'Brown et al (1948)'!$C$8</c:f>
              <c:strCache>
                <c:ptCount val="1"/>
                <c:pt idx="0">
                  <c:v>Gas-Cond.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'Brown et al (1948)'!$E$10:$E$20</c:f>
              <c:numCache>
                <c:formatCode>0.00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xVal>
          <c:y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D-485D-9B76-76878D78F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62416"/>
        <c:axId val="339162976"/>
      </c:scatterChart>
      <c:scatterChart>
        <c:scatterStyle val="smoothMarker"/>
        <c:varyColors val="0"/>
        <c:ser>
          <c:idx val="3"/>
          <c:order val="0"/>
          <c:tx>
            <c:strRef>
              <c:f>'Brown et al (1948)'!$D$8</c:f>
              <c:strCache>
                <c:ptCount val="1"/>
                <c:pt idx="0">
                  <c:v>Gas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'Brown et al (1948)'!$F$10:$F$20</c:f>
              <c:numCache>
                <c:formatCode>0.00</c:formatCode>
                <c:ptCount val="11"/>
                <c:pt idx="0">
                  <c:v>327.375</c:v>
                </c:pt>
                <c:pt idx="1">
                  <c:v>342.96875</c:v>
                </c:pt>
                <c:pt idx="2">
                  <c:v>358.5</c:v>
                </c:pt>
                <c:pt idx="3">
                  <c:v>373.96875</c:v>
                </c:pt>
                <c:pt idx="4">
                  <c:v>389.375</c:v>
                </c:pt>
                <c:pt idx="5">
                  <c:v>404.71875</c:v>
                </c:pt>
                <c:pt idx="6">
                  <c:v>420</c:v>
                </c:pt>
                <c:pt idx="7">
                  <c:v>435.21875</c:v>
                </c:pt>
                <c:pt idx="8">
                  <c:v>450.375</c:v>
                </c:pt>
                <c:pt idx="9">
                  <c:v>465.46875</c:v>
                </c:pt>
                <c:pt idx="10">
                  <c:v>480.5</c:v>
                </c:pt>
              </c:numCache>
            </c:numRef>
          </c:xVal>
          <c:yVal>
            <c:numRef>
              <c:f>'Brown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0D-485D-9B76-76878D78F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64096"/>
        <c:axId val="339163536"/>
      </c:scatterChart>
      <c:valAx>
        <c:axId val="339162416"/>
        <c:scaling>
          <c:orientation val="minMax"/>
          <c:max val="500"/>
          <c:min val="320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9162976"/>
        <c:crossesAt val="0"/>
        <c:crossBetween val="midCat"/>
      </c:valAx>
      <c:valAx>
        <c:axId val="339162976"/>
        <c:scaling>
          <c:orientation val="minMax"/>
          <c:max val="1"/>
          <c:min val="0.5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ES"/>
          </a:p>
        </c:txPr>
        <c:crossAx val="339162416"/>
        <c:crossesAt val="0"/>
        <c:crossBetween val="midCat"/>
      </c:valAx>
      <c:valAx>
        <c:axId val="339163536"/>
        <c:scaling>
          <c:orientation val="minMax"/>
          <c:max val="1"/>
          <c:min val="0.5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9164096"/>
        <c:crosses val="max"/>
        <c:crossBetween val="midCat"/>
      </c:valAx>
      <c:valAx>
        <c:axId val="339164096"/>
        <c:scaling>
          <c:orientation val="minMax"/>
          <c:max val="500"/>
          <c:min val="320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ES"/>
          </a:p>
        </c:txPr>
        <c:crossAx val="339163536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17484636066833109"/>
          <c:y val="0.13816391669634259"/>
          <c:w val="0.16107903623327571"/>
          <c:h val="0.20323797465015367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8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3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</xdr:row>
      <xdr:rowOff>128214</xdr:rowOff>
    </xdr:from>
    <xdr:to>
      <xdr:col>10</xdr:col>
      <xdr:colOff>0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Rectangle 1" descr="1c3801b2-ad66-49a8-af68-77037bdbbe9c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BO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Rectangle 1" descr="1c3801b2-ad66-49a8-af68-77037bdbbe9c"/>
            <xdr:cNvSpPr/>
          </xdr:nvSpPr>
          <xdr:spPr>
            <a:xfrm>
              <a:off x="5082540" y="303474"/>
              <a:ext cx="754380" cy="2488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×〖</a:t>
              </a:r>
              <a:r>
                <a:rPr lang="es-BO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10</xdr:col>
      <xdr:colOff>31047</xdr:colOff>
      <xdr:row>1</xdr:row>
      <xdr:rowOff>123854</xdr:rowOff>
    </xdr:from>
    <xdr:to>
      <xdr:col>10</xdr:col>
      <xdr:colOff>702962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Rectangle 2" descr="fdfa3f7c-a1fd-4e8b-b7bc-1ff240680ba6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" name="Rectangle 2" descr="fdfa3f7c-a1fd-4e8b-b7bc-1ff240680ba6"/>
            <xdr:cNvSpPr/>
          </xdr:nvSpPr>
          <xdr:spPr>
            <a:xfrm>
              <a:off x="5867967" y="299114"/>
              <a:ext cx="671915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×𝑇_(𝑐,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11</xdr:col>
      <xdr:colOff>45720</xdr:colOff>
      <xdr:row>1</xdr:row>
      <xdr:rowOff>123854</xdr:rowOff>
    </xdr:from>
    <xdr:to>
      <xdr:col>11</xdr:col>
      <xdr:colOff>720841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Rectangle 3" descr="c2ad3cc2-c596-4e78-8b67-6690d66cf7f9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Rectangle 3" descr="c2ad3cc2-c596-4e78-8b67-6690d66cf7f9"/>
            <xdr:cNvSpPr/>
          </xdr:nvSpPr>
          <xdr:spPr>
            <a:xfrm>
              <a:off x="664464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×𝑃_(𝑐,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12</xdr:col>
      <xdr:colOff>53340</xdr:colOff>
      <xdr:row>1</xdr:row>
      <xdr:rowOff>123854</xdr:rowOff>
    </xdr:from>
    <xdr:to>
      <xdr:col>12</xdr:col>
      <xdr:colOff>728461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Rectangle 4" descr="4271f853-1735-4920-aeeb-95094ebbd0f6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Rectangle 4" descr="4271f853-1735-4920-aeeb-95094ebbd0f6"/>
            <xdr:cNvSpPr/>
          </xdr:nvSpPr>
          <xdr:spPr>
            <a:xfrm>
              <a:off x="7414260" y="299114"/>
              <a:ext cx="675121" cy="25321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×𝜔_(𝑐,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oneCellAnchor>
    <xdr:from>
      <xdr:col>2</xdr:col>
      <xdr:colOff>79343</xdr:colOff>
      <xdr:row>20</xdr:row>
      <xdr:rowOff>27463</xdr:rowOff>
    </xdr:from>
    <xdr:ext cx="362535" cy="4650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511903" y="354028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BO" sz="1100" i="0">
                  <a:latin typeface="Cambria Math" panose="02040503050406030204" pitchFamily="18" charset="0"/>
                </a:rPr>
                <a:t>∑</a:t>
              </a:r>
              <a:r>
                <a:rPr lang="es-BO" sz="1100" b="0" i="0">
                  <a:latin typeface="Cambria Math" panose="02040503050406030204" pitchFamily="18" charset="0"/>
                </a:rPr>
                <a:t>_(𝑖=1)^𝑛▒𝑦_𝑖 </a:t>
              </a:r>
              <a:endParaRPr lang="es-BO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10</xdr:row>
      <xdr:rowOff>53340</xdr:rowOff>
    </xdr:from>
    <xdr:to>
      <xdr:col>14</xdr:col>
      <xdr:colOff>1226820</xdr:colOff>
      <xdr:row>12</xdr:row>
      <xdr:rowOff>149694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23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9" name="TextBox 23"/>
            <xdr:cNvSpPr txBox="1"/>
          </xdr:nvSpPr>
          <xdr:spPr>
            <a:xfrm>
              <a:off x="8389620" y="176784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𝑇_(𝑐,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13</xdr:row>
      <xdr:rowOff>22860</xdr:rowOff>
    </xdr:from>
    <xdr:to>
      <xdr:col>14</xdr:col>
      <xdr:colOff>1226820</xdr:colOff>
      <xdr:row>15</xdr:row>
      <xdr:rowOff>119214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3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1" name="TextBox 23"/>
            <xdr:cNvSpPr txBox="1"/>
          </xdr:nvSpPr>
          <xdr:spPr>
            <a:xfrm>
              <a:off x="8389620" y="228600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16</xdr:row>
      <xdr:rowOff>38100</xdr:rowOff>
    </xdr:from>
    <xdr:to>
      <xdr:col>14</xdr:col>
      <xdr:colOff>1226820</xdr:colOff>
      <xdr:row>18</xdr:row>
      <xdr:rowOff>134454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23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2" name="TextBox 23"/>
            <xdr:cNvSpPr txBox="1"/>
          </xdr:nvSpPr>
          <xdr:spPr>
            <a:xfrm>
              <a:off x="8389620" y="2849880"/>
              <a:ext cx="118872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𝜔_(𝑐,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4</xdr:row>
      <xdr:rowOff>45720</xdr:rowOff>
    </xdr:from>
    <xdr:to>
      <xdr:col>15</xdr:col>
      <xdr:colOff>15240</xdr:colOff>
      <xdr:row>6</xdr:row>
      <xdr:rowOff>142074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2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3" name="TextBox 23"/>
            <xdr:cNvSpPr txBox="1"/>
          </xdr:nvSpPr>
          <xdr:spPr>
            <a:xfrm>
              <a:off x="8389620" y="662940"/>
              <a:ext cx="1310640" cy="4621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7</xdr:row>
      <xdr:rowOff>121920</xdr:rowOff>
    </xdr:from>
    <xdr:to>
      <xdr:col>14</xdr:col>
      <xdr:colOff>1226820</xdr:colOff>
      <xdr:row>9</xdr:row>
      <xdr:rowOff>76889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2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4" name="TextBox 23"/>
            <xdr:cNvSpPr txBox="1"/>
          </xdr:nvSpPr>
          <xdr:spPr>
            <a:xfrm>
              <a:off x="8389620" y="1287780"/>
              <a:ext cx="1188720" cy="3207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14</xdr:row>
      <xdr:rowOff>7620</xdr:rowOff>
    </xdr:from>
    <xdr:to>
      <xdr:col>18</xdr:col>
      <xdr:colOff>2476500</xdr:colOff>
      <xdr:row>15</xdr:row>
      <xdr:rowOff>7354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5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7" name="TextBox 5"/>
            <xdr:cNvSpPr txBox="1"/>
          </xdr:nvSpPr>
          <xdr:spPr>
            <a:xfrm>
              <a:off x="9875521" y="2453640"/>
              <a:ext cx="2423159" cy="18261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𝑇_𝑝𝑐−𝜀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16</xdr:row>
      <xdr:rowOff>51300</xdr:rowOff>
    </xdr:from>
    <xdr:to>
      <xdr:col>18</xdr:col>
      <xdr:colOff>1805940</xdr:colOff>
      <xdr:row>18</xdr:row>
      <xdr:rowOff>78148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6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′</m:t>
                            </m:r>
                          </m:sup>
                        </m:sSubSup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𝑝𝑐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</m:d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8" name="TextBox 6"/>
            <xdr:cNvSpPr txBox="1"/>
          </xdr:nvSpPr>
          <xdr:spPr>
            <a:xfrm>
              <a:off x="9875521" y="2863080"/>
              <a:ext cx="1752599" cy="39260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 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)/[𝑇_𝑝𝑐+𝐵(1−𝐵)𝜀]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6</xdr:row>
      <xdr:rowOff>99060</xdr:rowOff>
    </xdr:from>
    <xdr:to>
      <xdr:col>18</xdr:col>
      <xdr:colOff>1241825</xdr:colOff>
      <xdr:row>7</xdr:row>
      <xdr:rowOff>106744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3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𝐴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𝐶𝑂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0" name="TextBox 3"/>
            <xdr:cNvSpPr txBox="1"/>
          </xdr:nvSpPr>
          <xdr:spPr>
            <a:xfrm>
              <a:off x="9875521" y="1082040"/>
              <a:ext cx="1188484" cy="1905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𝑦_(〖𝐶𝑂〗_2 )+𝑦_(𝐻_2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8</xdr:row>
      <xdr:rowOff>117106</xdr:rowOff>
    </xdr:from>
    <xdr:to>
      <xdr:col>18</xdr:col>
      <xdr:colOff>1241826</xdr:colOff>
      <xdr:row>9</xdr:row>
      <xdr:rowOff>117994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4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1" name="TextBox 4"/>
            <xdr:cNvSpPr txBox="1"/>
          </xdr:nvSpPr>
          <xdr:spPr>
            <a:xfrm>
              <a:off x="9875521" y="1465846"/>
              <a:ext cx="1188485" cy="18376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𝐵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10</xdr:row>
      <xdr:rowOff>121921</xdr:rowOff>
    </xdr:from>
    <xdr:to>
      <xdr:col>18</xdr:col>
      <xdr:colOff>2331720</xdr:colOff>
      <xdr:row>11</xdr:row>
      <xdr:rowOff>116782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=120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1.6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+15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0.5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2" name="TextBox 2"/>
            <xdr:cNvSpPr txBox="1"/>
          </xdr:nvSpPr>
          <xdr:spPr>
            <a:xfrm>
              <a:off x="9875521" y="1836421"/>
              <a:ext cx="2278379" cy="17774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120(𝐴^0.9−𝐴^1.6 )+15(𝐵^0.5−𝐵^4 )</a:t>
              </a:r>
              <a:endParaRPr lang="es-BO"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6</xdr:row>
      <xdr:rowOff>38100</xdr:rowOff>
    </xdr:from>
    <xdr:to>
      <xdr:col>2</xdr:col>
      <xdr:colOff>723900</xdr:colOff>
      <xdr:row>8</xdr:row>
      <xdr:rowOff>97374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3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TextBox 23"/>
            <xdr:cNvSpPr txBox="1"/>
          </xdr:nvSpPr>
          <xdr:spPr>
            <a:xfrm>
              <a:off x="1676400" y="952500"/>
              <a:ext cx="6400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𝑇/𝑇_𝑝𝑐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3</xdr:col>
      <xdr:colOff>91440</xdr:colOff>
      <xdr:row>6</xdr:row>
      <xdr:rowOff>45720</xdr:rowOff>
    </xdr:from>
    <xdr:to>
      <xdr:col>3</xdr:col>
      <xdr:colOff>693420</xdr:colOff>
      <xdr:row>8</xdr:row>
      <xdr:rowOff>104994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3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3" name="TextBox 23"/>
            <xdr:cNvSpPr txBox="1"/>
          </xdr:nvSpPr>
          <xdr:spPr>
            <a:xfrm>
              <a:off x="2430780" y="960120"/>
              <a:ext cx="60198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𝑃/𝑃_𝑝𝑐 </a:t>
              </a:r>
              <a:endParaRPr lang="es-BO" sz="1100"/>
            </a:p>
          </xdr:txBody>
        </xdr:sp>
      </mc:Fallback>
    </mc:AlternateContent>
    <xdr:clientData/>
  </xdr:twoCellAnchor>
  <xdr:twoCellAnchor editAs="oneCell">
    <xdr:from>
      <xdr:col>36</xdr:col>
      <xdr:colOff>19050</xdr:colOff>
      <xdr:row>4</xdr:row>
      <xdr:rowOff>114300</xdr:rowOff>
    </xdr:from>
    <xdr:to>
      <xdr:col>49</xdr:col>
      <xdr:colOff>537390</xdr:colOff>
      <xdr:row>29</xdr:row>
      <xdr:rowOff>84751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00" y="723900"/>
          <a:ext cx="8319315" cy="3780451"/>
        </a:xfrm>
        <a:prstGeom prst="rect">
          <a:avLst/>
        </a:prstGeom>
      </xdr:spPr>
    </xdr:pic>
    <xdr:clientData/>
  </xdr:twoCellAnchor>
  <xdr:twoCellAnchor editAs="oneCell">
    <xdr:from>
      <xdr:col>4</xdr:col>
      <xdr:colOff>209550</xdr:colOff>
      <xdr:row>12</xdr:row>
      <xdr:rowOff>104775</xdr:rowOff>
    </xdr:from>
    <xdr:to>
      <xdr:col>13</xdr:col>
      <xdr:colOff>47625</xdr:colOff>
      <xdr:row>37</xdr:row>
      <xdr:rowOff>133350</xdr:rowOff>
    </xdr:to>
    <xdr:graphicFrame macro="">
      <xdr:nvGraphicFramePr>
        <xdr:cNvPr id="5" name="ZFacto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30</xdr:col>
      <xdr:colOff>428625</xdr:colOff>
      <xdr:row>2</xdr:row>
      <xdr:rowOff>133350</xdr:rowOff>
    </xdr:from>
    <xdr:to>
      <xdr:col>35</xdr:col>
      <xdr:colOff>285393</xdr:colOff>
      <xdr:row>14</xdr:row>
      <xdr:rowOff>142645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31050" y="438150"/>
          <a:ext cx="2857143" cy="1838095"/>
        </a:xfrm>
        <a:prstGeom prst="rect">
          <a:avLst/>
        </a:prstGeom>
      </xdr:spPr>
    </xdr:pic>
    <xdr:clientData/>
  </xdr:twoCellAnchor>
  <xdr:twoCellAnchor editAs="oneCell">
    <xdr:from>
      <xdr:col>30</xdr:col>
      <xdr:colOff>590550</xdr:colOff>
      <xdr:row>11</xdr:row>
      <xdr:rowOff>19050</xdr:rowOff>
    </xdr:from>
    <xdr:to>
      <xdr:col>40</xdr:col>
      <xdr:colOff>227895</xdr:colOff>
      <xdr:row>35</xdr:row>
      <xdr:rowOff>132879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754975" y="1695450"/>
          <a:ext cx="5638095" cy="3771429"/>
        </a:xfrm>
        <a:prstGeom prst="rect">
          <a:avLst/>
        </a:prstGeom>
      </xdr:spPr>
    </xdr:pic>
    <xdr:clientData/>
  </xdr:twoCellAnchor>
  <xdr:twoCellAnchor>
    <xdr:from>
      <xdr:col>30</xdr:col>
      <xdr:colOff>163684</xdr:colOff>
      <xdr:row>12</xdr:row>
      <xdr:rowOff>85725</xdr:rowOff>
    </xdr:from>
    <xdr:to>
      <xdr:col>43</xdr:col>
      <xdr:colOff>161281</xdr:colOff>
      <xdr:row>34</xdr:row>
      <xdr:rowOff>85448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20461459" y="1914525"/>
          <a:ext cx="7798572" cy="3352523"/>
          <a:chOff x="14841709" y="2771775"/>
          <a:chExt cx="7798572" cy="3352523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4841709" y="2771775"/>
            <a:ext cx="7798572" cy="3352523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6421100" y="3762375"/>
            <a:ext cx="561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A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687800" y="4667250"/>
            <a:ext cx="561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B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8708859" y="5229225"/>
            <a:ext cx="561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C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6451434" y="5276850"/>
            <a:ext cx="561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D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8842209" y="3695700"/>
            <a:ext cx="561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/>
              <a:t>E</a:t>
            </a:r>
          </a:p>
        </xdr:txBody>
      </xdr:sp>
    </xdr:grpSp>
    <xdr:clientData/>
  </xdr:twoCellAnchor>
  <xdr:twoCellAnchor editAs="oneCell">
    <xdr:from>
      <xdr:col>13</xdr:col>
      <xdr:colOff>47625</xdr:colOff>
      <xdr:row>12</xdr:row>
      <xdr:rowOff>114300</xdr:rowOff>
    </xdr:from>
    <xdr:to>
      <xdr:col>19</xdr:col>
      <xdr:colOff>561975</xdr:colOff>
      <xdr:row>37</xdr:row>
      <xdr:rowOff>133350</xdr:rowOff>
    </xdr:to>
    <xdr:graphicFrame macro="">
      <xdr:nvGraphicFramePr>
        <xdr:cNvPr id="17" name="ZFactor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381000</xdr:colOff>
          <xdr:row>1</xdr:row>
          <xdr:rowOff>66675</xdr:rowOff>
        </xdr:from>
        <xdr:to>
          <xdr:col>28</xdr:col>
          <xdr:colOff>514350</xdr:colOff>
          <xdr:row>4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16</xdr:col>
      <xdr:colOff>0</xdr:colOff>
      <xdr:row>17</xdr:row>
      <xdr:rowOff>0</xdr:rowOff>
    </xdr:to>
    <xdr:graphicFrame macro="">
      <xdr:nvGraphicFramePr>
        <xdr:cNvPr id="2" name="ZFactor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1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3" name="GasViscosit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0</xdr:colOff>
      <xdr:row>17</xdr:row>
      <xdr:rowOff>0</xdr:rowOff>
    </xdr:from>
    <xdr:to>
      <xdr:col>16</xdr:col>
      <xdr:colOff>0</xdr:colOff>
      <xdr:row>33</xdr:row>
      <xdr:rowOff>0</xdr:rowOff>
    </xdr:to>
    <xdr:graphicFrame macro="">
      <xdr:nvGraphicFramePr>
        <xdr:cNvPr id="4" name="B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0</xdr:colOff>
      <xdr:row>17</xdr:row>
      <xdr:rowOff>0</xdr:rowOff>
    </xdr:from>
    <xdr:to>
      <xdr:col>24</xdr:col>
      <xdr:colOff>0</xdr:colOff>
      <xdr:row>33</xdr:row>
      <xdr:rowOff>0</xdr:rowOff>
    </xdr:to>
    <xdr:graphicFrame macro="">
      <xdr:nvGraphicFramePr>
        <xdr:cNvPr id="5" name="GasDensity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2</xdr:row>
      <xdr:rowOff>63500</xdr:rowOff>
    </xdr:from>
    <xdr:to>
      <xdr:col>2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SGg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612140" y="353060"/>
              <a:ext cx="1841500" cy="3708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SGg"/>
            <xdr:cNvSpPr txBox="1"/>
          </xdr:nvSpPr>
          <xdr:spPr>
            <a:xfrm>
              <a:off x="612140" y="353060"/>
              <a:ext cx="1841500" cy="37084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 editAs="oneCell">
    <xdr:from>
      <xdr:col>9</xdr:col>
      <xdr:colOff>15240</xdr:colOff>
      <xdr:row>39</xdr:row>
      <xdr:rowOff>83820</xdr:rowOff>
    </xdr:from>
    <xdr:to>
      <xdr:col>15</xdr:col>
      <xdr:colOff>787005</xdr:colOff>
      <xdr:row>93</xdr:row>
      <xdr:rowOff>116755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3940" y="5760720"/>
          <a:ext cx="5800965" cy="826253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25</xdr:col>
      <xdr:colOff>0</xdr:colOff>
      <xdr:row>19</xdr:row>
      <xdr:rowOff>16934</xdr:rowOff>
    </xdr:to>
    <xdr:graphicFrame macro="">
      <xdr:nvGraphicFramePr>
        <xdr:cNvPr id="26" name="Ppc_adj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19</xdr:row>
      <xdr:rowOff>0</xdr:rowOff>
    </xdr:from>
    <xdr:to>
      <xdr:col>25</xdr:col>
      <xdr:colOff>0</xdr:colOff>
      <xdr:row>35</xdr:row>
      <xdr:rowOff>16933</xdr:rowOff>
    </xdr:to>
    <xdr:graphicFrame macro="">
      <xdr:nvGraphicFramePr>
        <xdr:cNvPr id="27" name="Tpc_adj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0</xdr:row>
      <xdr:rowOff>0</xdr:rowOff>
    </xdr:from>
    <xdr:to>
      <xdr:col>17</xdr:col>
      <xdr:colOff>0</xdr:colOff>
      <xdr:row>19</xdr:row>
      <xdr:rowOff>16934</xdr:rowOff>
    </xdr:to>
    <xdr:graphicFrame macro="">
      <xdr:nvGraphicFramePr>
        <xdr:cNvPr id="29" name="Ppc_ws5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19</xdr:row>
      <xdr:rowOff>0</xdr:rowOff>
    </xdr:from>
    <xdr:to>
      <xdr:col>17</xdr:col>
      <xdr:colOff>0</xdr:colOff>
      <xdr:row>35</xdr:row>
      <xdr:rowOff>16933</xdr:rowOff>
    </xdr:to>
    <xdr:graphicFrame macro="">
      <xdr:nvGraphicFramePr>
        <xdr:cNvPr id="30" name="Tpc_ws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23</xdr:row>
          <xdr:rowOff>57150</xdr:rowOff>
        </xdr:from>
        <xdr:to>
          <xdr:col>5</xdr:col>
          <xdr:colOff>1000125</xdr:colOff>
          <xdr:row>25</xdr:row>
          <xdr:rowOff>9525</xdr:rowOff>
        </xdr:to>
        <xdr:sp macro="" textlink="">
          <xdr:nvSpPr>
            <xdr:cNvPr id="5121" name="Check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25</xdr:row>
          <xdr:rowOff>57150</xdr:rowOff>
        </xdr:from>
        <xdr:to>
          <xdr:col>5</xdr:col>
          <xdr:colOff>1009650</xdr:colOff>
          <xdr:row>27</xdr:row>
          <xdr:rowOff>0</xdr:rowOff>
        </xdr:to>
        <xdr:sp macro="" textlink="">
          <xdr:nvSpPr>
            <xdr:cNvPr id="5122" name="CheckBox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27</xdr:row>
          <xdr:rowOff>57150</xdr:rowOff>
        </xdr:from>
        <xdr:to>
          <xdr:col>5</xdr:col>
          <xdr:colOff>1143000</xdr:colOff>
          <xdr:row>29</xdr:row>
          <xdr:rowOff>0</xdr:rowOff>
        </xdr:to>
        <xdr:sp macro="" textlink="">
          <xdr:nvSpPr>
            <xdr:cNvPr id="5123" name="CheckBox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29</xdr:row>
          <xdr:rowOff>57150</xdr:rowOff>
        </xdr:from>
        <xdr:to>
          <xdr:col>6</xdr:col>
          <xdr:colOff>0</xdr:colOff>
          <xdr:row>31</xdr:row>
          <xdr:rowOff>9525</xdr:rowOff>
        </xdr:to>
        <xdr:sp macro="" textlink="">
          <xdr:nvSpPr>
            <xdr:cNvPr id="5124" name="CheckBox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31</xdr:row>
          <xdr:rowOff>57150</xdr:rowOff>
        </xdr:from>
        <xdr:to>
          <xdr:col>6</xdr:col>
          <xdr:colOff>200025</xdr:colOff>
          <xdr:row>33</xdr:row>
          <xdr:rowOff>0</xdr:rowOff>
        </xdr:to>
        <xdr:sp macro="" textlink="">
          <xdr:nvSpPr>
            <xdr:cNvPr id="5125" name="CheckBox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33</xdr:row>
          <xdr:rowOff>57150</xdr:rowOff>
        </xdr:from>
        <xdr:to>
          <xdr:col>6</xdr:col>
          <xdr:colOff>209550</xdr:colOff>
          <xdr:row>35</xdr:row>
          <xdr:rowOff>19050</xdr:rowOff>
        </xdr:to>
        <xdr:sp macro="" textlink="">
          <xdr:nvSpPr>
            <xdr:cNvPr id="5126" name="CheckBox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76200</xdr:rowOff>
        </xdr:from>
        <xdr:to>
          <xdr:col>33</xdr:col>
          <xdr:colOff>142875</xdr:colOff>
          <xdr:row>4</xdr:row>
          <xdr:rowOff>76200</xdr:rowOff>
        </xdr:to>
        <xdr:sp macro="" textlink="">
          <xdr:nvSpPr>
            <xdr:cNvPr id="5128" name="CommandButton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3" name="ZFacto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3</xdr:row>
      <xdr:rowOff>0</xdr:rowOff>
    </xdr:from>
    <xdr:to>
      <xdr:col>16</xdr:col>
      <xdr:colOff>0</xdr:colOff>
      <xdr:row>35</xdr:row>
      <xdr:rowOff>0</xdr:rowOff>
    </xdr:to>
    <xdr:graphicFrame macro="">
      <xdr:nvGraphicFramePr>
        <xdr:cNvPr id="4" name="GasViscosity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3</xdr:row>
      <xdr:rowOff>0</xdr:rowOff>
    </xdr:from>
    <xdr:to>
      <xdr:col>24</xdr:col>
      <xdr:colOff>0</xdr:colOff>
      <xdr:row>35</xdr:row>
      <xdr:rowOff>0</xdr:rowOff>
    </xdr:to>
    <xdr:graphicFrame macro="">
      <xdr:nvGraphicFramePr>
        <xdr:cNvPr id="5" name="B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25</xdr:col>
      <xdr:colOff>0</xdr:colOff>
      <xdr:row>3</xdr:row>
      <xdr:rowOff>0</xdr:rowOff>
    </xdr:from>
    <xdr:to>
      <xdr:col>32</xdr:col>
      <xdr:colOff>0</xdr:colOff>
      <xdr:row>35</xdr:row>
      <xdr:rowOff>0</xdr:rowOff>
    </xdr:to>
    <xdr:graphicFrame macro="">
      <xdr:nvGraphicFramePr>
        <xdr:cNvPr id="6" name="GasDensity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57150</xdr:rowOff>
        </xdr:from>
        <xdr:to>
          <xdr:col>7</xdr:col>
          <xdr:colOff>276225</xdr:colOff>
          <xdr:row>2</xdr:row>
          <xdr:rowOff>114300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</xdr:row>
          <xdr:rowOff>0</xdr:rowOff>
        </xdr:from>
        <xdr:to>
          <xdr:col>11</xdr:col>
          <xdr:colOff>171450</xdr:colOff>
          <xdr:row>2</xdr:row>
          <xdr:rowOff>85725</xdr:rowOff>
        </xdr:to>
        <xdr:sp macro="" textlink="">
          <xdr:nvSpPr>
            <xdr:cNvPr id="6146" name="Option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19050</xdr:rowOff>
        </xdr:from>
        <xdr:to>
          <xdr:col>14</xdr:col>
          <xdr:colOff>171450</xdr:colOff>
          <xdr:row>2</xdr:row>
          <xdr:rowOff>104775</xdr:rowOff>
        </xdr:to>
        <xdr:sp macro="" textlink="">
          <xdr:nvSpPr>
            <xdr:cNvPr id="6147" name="Option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</xdr:colOff>
      <xdr:row>0</xdr:row>
      <xdr:rowOff>146685</xdr:rowOff>
    </xdr:from>
    <xdr:to>
      <xdr:col>16</xdr:col>
      <xdr:colOff>116205</xdr:colOff>
      <xdr:row>30</xdr:row>
      <xdr:rowOff>123825</xdr:rowOff>
    </xdr:to>
    <xdr:graphicFrame macro="">
      <xdr:nvGraphicFramePr>
        <xdr:cNvPr id="2" name="Ppc_adj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177165</xdr:colOff>
      <xdr:row>0</xdr:row>
      <xdr:rowOff>131445</xdr:rowOff>
    </xdr:from>
    <xdr:to>
      <xdr:col>25</xdr:col>
      <xdr:colOff>289560</xdr:colOff>
      <xdr:row>30</xdr:row>
      <xdr:rowOff>108585</xdr:rowOff>
    </xdr:to>
    <xdr:graphicFrame macro="">
      <xdr:nvGraphicFramePr>
        <xdr:cNvPr id="3" name="Ppc_adj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371475</xdr:colOff>
      <xdr:row>0</xdr:row>
      <xdr:rowOff>106680</xdr:rowOff>
    </xdr:from>
    <xdr:to>
      <xdr:col>34</xdr:col>
      <xdr:colOff>382905</xdr:colOff>
      <xdr:row>30</xdr:row>
      <xdr:rowOff>83820</xdr:rowOff>
    </xdr:to>
    <xdr:graphicFrame macro="">
      <xdr:nvGraphicFramePr>
        <xdr:cNvPr id="4" name="Ppc_adj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7.xml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2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5.xml"/><Relationship Id="rId1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2"/>
  <sheetViews>
    <sheetView showGridLines="0" workbookViewId="0">
      <selection activeCell="T6" sqref="T6"/>
    </sheetView>
  </sheetViews>
  <sheetFormatPr defaultColWidth="9" defaultRowHeight="12" x14ac:dyDescent="0.2"/>
  <cols>
    <col min="1" max="1" width="1.42578125" style="1" customWidth="1"/>
    <col min="2" max="2" width="16.7109375" style="1" customWidth="1"/>
    <col min="3" max="3" width="7.42578125" style="1" customWidth="1"/>
    <col min="4" max="4" width="11.85546875" style="11" customWidth="1"/>
    <col min="5" max="7" width="7.85546875" style="11" customWidth="1"/>
    <col min="8" max="8" width="8.42578125" style="11" customWidth="1"/>
    <col min="9" max="9" width="1.28515625" style="1" customWidth="1"/>
    <col min="10" max="13" width="12.42578125" style="1" customWidth="1"/>
    <col min="14" max="14" width="1.28515625" style="1" customWidth="1"/>
    <col min="15" max="15" width="21.85546875" style="1" customWidth="1"/>
    <col min="16" max="16" width="10.42578125" style="1" customWidth="1"/>
    <col min="17" max="17" width="4.140625" style="1" customWidth="1"/>
    <col min="18" max="18" width="1.7109375" style="1" customWidth="1"/>
    <col min="19" max="19" width="41.7109375" style="1" customWidth="1"/>
    <col min="20" max="20" width="9" style="1"/>
    <col min="21" max="21" width="7.42578125" style="1" customWidth="1"/>
    <col min="22" max="16384" width="9" style="1"/>
  </cols>
  <sheetData>
    <row r="1" spans="1:21" ht="13.9" customHeight="1" x14ac:dyDescent="0.2">
      <c r="A1" s="40">
        <v>1000</v>
      </c>
      <c r="B1" s="119" t="s">
        <v>78</v>
      </c>
      <c r="S1" s="62"/>
    </row>
    <row r="2" spans="1:21" ht="11.45" customHeight="1" x14ac:dyDescent="0.2">
      <c r="B2" s="298" t="s">
        <v>0</v>
      </c>
      <c r="C2" s="301" t="s">
        <v>1</v>
      </c>
      <c r="D2" s="12" t="s">
        <v>33</v>
      </c>
      <c r="E2" s="12" t="s">
        <v>27</v>
      </c>
      <c r="F2" s="12" t="s">
        <v>28</v>
      </c>
      <c r="G2" s="12" t="s">
        <v>29</v>
      </c>
      <c r="H2" s="295" t="s">
        <v>32</v>
      </c>
      <c r="J2" s="22"/>
      <c r="K2" s="23"/>
      <c r="L2" s="24"/>
      <c r="M2" s="24"/>
      <c r="O2" s="286" t="s">
        <v>39</v>
      </c>
      <c r="P2" s="287"/>
      <c r="Q2" s="288"/>
      <c r="S2" s="286" t="s">
        <v>69</v>
      </c>
      <c r="T2" s="287"/>
      <c r="U2" s="288"/>
    </row>
    <row r="3" spans="1:21" ht="11.45" customHeight="1" x14ac:dyDescent="0.2">
      <c r="B3" s="299"/>
      <c r="C3" s="302"/>
      <c r="D3" s="20" t="s">
        <v>38</v>
      </c>
      <c r="E3" s="19"/>
      <c r="F3" s="19"/>
      <c r="G3" s="19"/>
      <c r="H3" s="296"/>
      <c r="J3" s="25"/>
      <c r="K3" s="26"/>
      <c r="L3" s="27"/>
      <c r="M3" s="27"/>
      <c r="O3" s="289"/>
      <c r="P3" s="290"/>
      <c r="Q3" s="291"/>
      <c r="S3" s="289" t="s">
        <v>70</v>
      </c>
      <c r="T3" s="290"/>
      <c r="U3" s="291"/>
    </row>
    <row r="4" spans="1:21" ht="12" customHeight="1" x14ac:dyDescent="0.2">
      <c r="B4" s="300"/>
      <c r="C4" s="303"/>
      <c r="D4" s="13" t="s">
        <v>34</v>
      </c>
      <c r="E4" s="13"/>
      <c r="F4" s="14" t="s">
        <v>30</v>
      </c>
      <c r="G4" s="13" t="s">
        <v>31</v>
      </c>
      <c r="H4" s="297"/>
      <c r="J4" s="223"/>
      <c r="K4" s="224"/>
      <c r="L4" s="225"/>
      <c r="M4" s="225"/>
      <c r="O4" s="292"/>
      <c r="P4" s="293"/>
      <c r="Q4" s="294"/>
      <c r="S4" s="292"/>
      <c r="T4" s="293"/>
      <c r="U4" s="294"/>
    </row>
    <row r="5" spans="1:21" ht="15.6" customHeight="1" x14ac:dyDescent="0.25">
      <c r="B5" s="5" t="s">
        <v>2</v>
      </c>
      <c r="C5" s="6" t="s">
        <v>35</v>
      </c>
      <c r="D5" s="252">
        <v>0.1</v>
      </c>
      <c r="E5" s="246">
        <v>44</v>
      </c>
      <c r="F5" s="15">
        <v>87.9</v>
      </c>
      <c r="G5" s="15">
        <v>1071</v>
      </c>
      <c r="H5" s="30">
        <v>0.2276</v>
      </c>
      <c r="J5" s="226">
        <v>4.3999999999999997E-2</v>
      </c>
      <c r="K5" s="227">
        <v>8.7900000000000006E-2</v>
      </c>
      <c r="L5" s="228">
        <v>1.071</v>
      </c>
      <c r="M5" s="229">
        <v>2.276E-4</v>
      </c>
      <c r="O5" s="33"/>
      <c r="P5" s="280">
        <f>+SUM(J5:J19)</f>
        <v>19.118690400000002</v>
      </c>
      <c r="Q5" s="34"/>
      <c r="S5" s="64" t="s">
        <v>65</v>
      </c>
      <c r="T5" s="70">
        <f>+D5/100</f>
        <v>1E-3</v>
      </c>
      <c r="U5" s="65" t="s">
        <v>66</v>
      </c>
    </row>
    <row r="6" spans="1:21" ht="15.6" customHeight="1" x14ac:dyDescent="0.25">
      <c r="B6" s="7" t="s">
        <v>3</v>
      </c>
      <c r="C6" s="8" t="s">
        <v>36</v>
      </c>
      <c r="D6" s="253">
        <v>0</v>
      </c>
      <c r="E6" s="247">
        <v>34.1</v>
      </c>
      <c r="F6" s="16">
        <v>212.5</v>
      </c>
      <c r="G6" s="16">
        <v>1300</v>
      </c>
      <c r="H6" s="31">
        <v>8.2699999999999996E-2</v>
      </c>
      <c r="J6" s="230">
        <v>0</v>
      </c>
      <c r="K6" s="231">
        <v>0</v>
      </c>
      <c r="L6" s="232">
        <v>0</v>
      </c>
      <c r="M6" s="233">
        <v>0</v>
      </c>
      <c r="O6" s="35"/>
      <c r="P6" s="281"/>
      <c r="Q6" s="36"/>
      <c r="S6" s="66" t="s">
        <v>67</v>
      </c>
      <c r="T6" s="71">
        <f>+D6/100</f>
        <v>0</v>
      </c>
      <c r="U6" s="67" t="s">
        <v>66</v>
      </c>
    </row>
    <row r="7" spans="1:21" ht="15.6" customHeight="1" x14ac:dyDescent="0.25">
      <c r="B7" s="9" t="s">
        <v>4</v>
      </c>
      <c r="C7" s="10" t="s">
        <v>37</v>
      </c>
      <c r="D7" s="254">
        <v>2.1</v>
      </c>
      <c r="E7" s="248">
        <v>28.0124</v>
      </c>
      <c r="F7" s="17">
        <v>-232.5</v>
      </c>
      <c r="G7" s="17">
        <v>493.1</v>
      </c>
      <c r="H7" s="32">
        <v>4.0300000000000002E-2</v>
      </c>
      <c r="J7" s="234">
        <v>0.58826040000000002</v>
      </c>
      <c r="K7" s="235">
        <v>-4.8825000000000003</v>
      </c>
      <c r="L7" s="236">
        <v>10.355100000000002</v>
      </c>
      <c r="M7" s="237">
        <v>8.4630000000000013E-4</v>
      </c>
      <c r="O7" s="37"/>
      <c r="P7" s="282"/>
      <c r="Q7" s="38"/>
      <c r="S7" s="311"/>
      <c r="T7" s="313">
        <f>+T6+T5</f>
        <v>1E-3</v>
      </c>
      <c r="U7" s="307"/>
    </row>
    <row r="8" spans="1:21" ht="15.6" customHeight="1" x14ac:dyDescent="0.25">
      <c r="B8" s="4" t="s">
        <v>5</v>
      </c>
      <c r="C8" s="1" t="s">
        <v>6</v>
      </c>
      <c r="D8" s="255">
        <v>86.1</v>
      </c>
      <c r="E8" s="249">
        <v>16</v>
      </c>
      <c r="F8" s="11">
        <v>-116.7</v>
      </c>
      <c r="G8" s="11">
        <v>666.4</v>
      </c>
      <c r="H8" s="28">
        <v>1.0800000000000001E-2</v>
      </c>
      <c r="J8" s="238">
        <v>13.776</v>
      </c>
      <c r="K8" s="239">
        <v>-100.4787</v>
      </c>
      <c r="L8" s="240">
        <v>573.7704</v>
      </c>
      <c r="M8" s="241">
        <v>9.2988000000000012E-3</v>
      </c>
      <c r="O8" s="33"/>
      <c r="P8" s="304">
        <f>+P5/28.967</f>
        <v>0.66001623916870933</v>
      </c>
      <c r="Q8" s="34"/>
      <c r="S8" s="312"/>
      <c r="T8" s="314"/>
      <c r="U8" s="308"/>
    </row>
    <row r="9" spans="1:21" ht="15.6" customHeight="1" x14ac:dyDescent="0.25">
      <c r="B9" s="4" t="s">
        <v>7</v>
      </c>
      <c r="C9" s="1" t="s">
        <v>8</v>
      </c>
      <c r="D9" s="255">
        <v>5.9</v>
      </c>
      <c r="E9" s="249">
        <v>30.07</v>
      </c>
      <c r="F9" s="11">
        <v>89.9</v>
      </c>
      <c r="G9" s="11">
        <v>706.5</v>
      </c>
      <c r="H9" s="28">
        <v>9.9000000000000005E-2</v>
      </c>
      <c r="J9" s="238">
        <v>1.7741300000000002</v>
      </c>
      <c r="K9" s="239">
        <v>5.3041000000000009</v>
      </c>
      <c r="L9" s="240">
        <v>41.683500000000002</v>
      </c>
      <c r="M9" s="241">
        <v>5.8410000000000007E-3</v>
      </c>
      <c r="O9" s="35"/>
      <c r="P9" s="305"/>
      <c r="Q9" s="36"/>
      <c r="S9" s="311"/>
      <c r="T9" s="313">
        <f>+T6</f>
        <v>0</v>
      </c>
      <c r="U9" s="307"/>
    </row>
    <row r="10" spans="1:21" ht="15.6" customHeight="1" x14ac:dyDescent="0.25">
      <c r="B10" s="4" t="s">
        <v>9</v>
      </c>
      <c r="C10" s="1" t="s">
        <v>10</v>
      </c>
      <c r="D10" s="255">
        <v>3.6</v>
      </c>
      <c r="E10" s="249">
        <v>44.1</v>
      </c>
      <c r="F10" s="11">
        <v>206.1</v>
      </c>
      <c r="G10" s="11">
        <v>616</v>
      </c>
      <c r="H10" s="28">
        <v>0.1517</v>
      </c>
      <c r="J10" s="238">
        <v>1.5876000000000003</v>
      </c>
      <c r="K10" s="239">
        <v>7.4196000000000009</v>
      </c>
      <c r="L10" s="240">
        <v>22.176000000000002</v>
      </c>
      <c r="M10" s="241">
        <v>5.4612000000000011E-3</v>
      </c>
      <c r="O10" s="37"/>
      <c r="P10" s="306"/>
      <c r="Q10" s="38"/>
      <c r="S10" s="312"/>
      <c r="T10" s="314"/>
      <c r="U10" s="308"/>
    </row>
    <row r="11" spans="1:21" ht="15.6" customHeight="1" x14ac:dyDescent="0.25">
      <c r="B11" s="4" t="s">
        <v>11</v>
      </c>
      <c r="C11" s="1" t="s">
        <v>12</v>
      </c>
      <c r="D11" s="255">
        <v>1.7</v>
      </c>
      <c r="E11" s="249">
        <v>58.1</v>
      </c>
      <c r="F11" s="11">
        <v>305.60000000000002</v>
      </c>
      <c r="G11" s="11">
        <v>550.6</v>
      </c>
      <c r="H11" s="28">
        <v>0.19309999999999999</v>
      </c>
      <c r="J11" s="238">
        <v>0.98770000000000013</v>
      </c>
      <c r="K11" s="239">
        <v>5.1952000000000007</v>
      </c>
      <c r="L11" s="240">
        <v>9.3602000000000007</v>
      </c>
      <c r="M11" s="241">
        <v>3.2826999999999999E-3</v>
      </c>
      <c r="O11" s="33"/>
      <c r="P11" s="280">
        <f>+SUM(K5:K19)</f>
        <v>-85.425399999999996</v>
      </c>
      <c r="Q11" s="34"/>
      <c r="S11" s="311"/>
      <c r="T11" s="315">
        <f>120*(T7^0.9-T7^1.6)+15*(T9^0.5-T9^4)</f>
        <v>0.23752960596531225</v>
      </c>
      <c r="U11" s="309" t="s">
        <v>68</v>
      </c>
    </row>
    <row r="12" spans="1:21" ht="15.6" customHeight="1" x14ac:dyDescent="0.25">
      <c r="B12" s="4" t="s">
        <v>13</v>
      </c>
      <c r="C12" s="1" t="s">
        <v>12</v>
      </c>
      <c r="D12" s="255">
        <v>0</v>
      </c>
      <c r="E12" s="249">
        <v>58.1</v>
      </c>
      <c r="F12" s="11">
        <v>274.5</v>
      </c>
      <c r="G12" s="11">
        <v>527.9</v>
      </c>
      <c r="H12" s="28">
        <v>0.17699999999999999</v>
      </c>
      <c r="J12" s="238">
        <v>0</v>
      </c>
      <c r="K12" s="239">
        <v>0</v>
      </c>
      <c r="L12" s="240">
        <v>0</v>
      </c>
      <c r="M12" s="241">
        <v>0</v>
      </c>
      <c r="O12" s="35"/>
      <c r="P12" s="281"/>
      <c r="Q12" s="39" t="s">
        <v>30</v>
      </c>
      <c r="S12" s="312"/>
      <c r="T12" s="316"/>
      <c r="U12" s="310"/>
    </row>
    <row r="13" spans="1:21" ht="15.6" customHeight="1" x14ac:dyDescent="0.25">
      <c r="B13" s="4" t="s">
        <v>14</v>
      </c>
      <c r="C13" s="1" t="s">
        <v>15</v>
      </c>
      <c r="D13" s="255">
        <v>0.5</v>
      </c>
      <c r="E13" s="249">
        <v>72.2</v>
      </c>
      <c r="F13" s="11">
        <v>385.8</v>
      </c>
      <c r="G13" s="11">
        <v>488.6</v>
      </c>
      <c r="H13" s="28">
        <v>0.24859999999999999</v>
      </c>
      <c r="J13" s="238">
        <v>0.36100000000000004</v>
      </c>
      <c r="K13" s="239">
        <v>1.929</v>
      </c>
      <c r="L13" s="240">
        <v>2.4430000000000001</v>
      </c>
      <c r="M13" s="241">
        <v>1.243E-3</v>
      </c>
      <c r="O13" s="37"/>
      <c r="P13" s="282"/>
      <c r="Q13" s="38"/>
      <c r="S13" s="68" t="s">
        <v>64</v>
      </c>
      <c r="T13" s="72">
        <f>+P11+460</f>
        <v>374.57460000000003</v>
      </c>
      <c r="U13" s="69" t="s">
        <v>68</v>
      </c>
    </row>
    <row r="14" spans="1:21" ht="15.6" customHeight="1" x14ac:dyDescent="0.25">
      <c r="B14" s="4" t="s">
        <v>16</v>
      </c>
      <c r="C14" s="1" t="s">
        <v>15</v>
      </c>
      <c r="D14" s="255">
        <v>0</v>
      </c>
      <c r="E14" s="249">
        <v>72.2</v>
      </c>
      <c r="F14" s="11">
        <v>369.1</v>
      </c>
      <c r="G14" s="11">
        <v>490.4</v>
      </c>
      <c r="H14" s="28">
        <v>0.22750000000000001</v>
      </c>
      <c r="J14" s="238">
        <v>0</v>
      </c>
      <c r="K14" s="239">
        <v>0</v>
      </c>
      <c r="L14" s="240">
        <v>0</v>
      </c>
      <c r="M14" s="241">
        <v>0</v>
      </c>
      <c r="O14" s="33"/>
      <c r="P14" s="280">
        <f>+SUM(L5:L19)</f>
        <v>660.85919999999999</v>
      </c>
      <c r="Q14" s="34"/>
      <c r="S14" s="33"/>
      <c r="T14" s="280">
        <f>+T13-T11</f>
        <v>374.3370703940347</v>
      </c>
      <c r="U14" s="34"/>
    </row>
    <row r="15" spans="1:21" ht="15.6" customHeight="1" x14ac:dyDescent="0.25">
      <c r="B15" s="4" t="s">
        <v>17</v>
      </c>
      <c r="C15" s="1" t="s">
        <v>18</v>
      </c>
      <c r="D15" s="255">
        <v>0</v>
      </c>
      <c r="E15" s="249">
        <v>86.2</v>
      </c>
      <c r="F15" s="11">
        <v>453.6</v>
      </c>
      <c r="G15" s="11">
        <v>436.9</v>
      </c>
      <c r="H15" s="28">
        <v>0.30470000000000003</v>
      </c>
      <c r="J15" s="238">
        <v>0</v>
      </c>
      <c r="K15" s="239">
        <v>0</v>
      </c>
      <c r="L15" s="240">
        <v>0</v>
      </c>
      <c r="M15" s="241">
        <v>0</v>
      </c>
      <c r="O15" s="35"/>
      <c r="P15" s="281"/>
      <c r="Q15" s="36" t="s">
        <v>31</v>
      </c>
      <c r="S15" s="35"/>
      <c r="T15" s="281"/>
      <c r="U15" s="63" t="s">
        <v>68</v>
      </c>
    </row>
    <row r="16" spans="1:21" ht="15.6" customHeight="1" x14ac:dyDescent="0.25">
      <c r="B16" s="4" t="s">
        <v>19</v>
      </c>
      <c r="C16" s="1" t="s">
        <v>20</v>
      </c>
      <c r="D16" s="255">
        <v>0</v>
      </c>
      <c r="E16" s="249">
        <v>100.2</v>
      </c>
      <c r="F16" s="11">
        <v>512.70000000000005</v>
      </c>
      <c r="G16" s="11">
        <v>396.8</v>
      </c>
      <c r="H16" s="28">
        <v>0.34939999999999999</v>
      </c>
      <c r="J16" s="238">
        <v>0</v>
      </c>
      <c r="K16" s="239">
        <v>0</v>
      </c>
      <c r="L16" s="240">
        <v>0</v>
      </c>
      <c r="M16" s="241">
        <v>0</v>
      </c>
      <c r="O16" s="37"/>
      <c r="P16" s="282"/>
      <c r="Q16" s="38"/>
      <c r="S16" s="37"/>
      <c r="T16" s="282"/>
      <c r="U16" s="38"/>
    </row>
    <row r="17" spans="2:21" ht="15.6" customHeight="1" x14ac:dyDescent="0.25">
      <c r="B17" s="4" t="s">
        <v>21</v>
      </c>
      <c r="C17" s="1" t="s">
        <v>22</v>
      </c>
      <c r="D17" s="255">
        <v>0</v>
      </c>
      <c r="E17" s="249">
        <v>114.2</v>
      </c>
      <c r="F17" s="11">
        <v>564.20000000000005</v>
      </c>
      <c r="G17" s="11">
        <v>360.7</v>
      </c>
      <c r="H17" s="28">
        <v>0.3962</v>
      </c>
      <c r="J17" s="238">
        <v>0</v>
      </c>
      <c r="K17" s="239">
        <v>0</v>
      </c>
      <c r="L17" s="240">
        <v>0</v>
      </c>
      <c r="M17" s="241">
        <v>0</v>
      </c>
      <c r="O17" s="33"/>
      <c r="P17" s="283">
        <f>+SUM(M5:M19)</f>
        <v>2.6200600000000004E-2</v>
      </c>
      <c r="Q17" s="34"/>
      <c r="S17" s="33"/>
      <c r="T17" s="280">
        <f>(P14*T14)/(T13+T9*(1-T9)*T11)</f>
        <v>660.4401282706981</v>
      </c>
      <c r="U17" s="34"/>
    </row>
    <row r="18" spans="2:21" ht="15.6" customHeight="1" x14ac:dyDescent="0.25">
      <c r="B18" s="4" t="s">
        <v>23</v>
      </c>
      <c r="C18" s="1" t="s">
        <v>24</v>
      </c>
      <c r="D18" s="255">
        <v>0</v>
      </c>
      <c r="E18" s="249">
        <v>128.30000000000001</v>
      </c>
      <c r="F18" s="11">
        <v>610.70000000000005</v>
      </c>
      <c r="G18" s="11">
        <v>331.8</v>
      </c>
      <c r="H18" s="28">
        <v>0.43680000000000002</v>
      </c>
      <c r="J18" s="238">
        <v>0</v>
      </c>
      <c r="K18" s="239">
        <v>0</v>
      </c>
      <c r="L18" s="240">
        <v>0</v>
      </c>
      <c r="M18" s="241">
        <v>0</v>
      </c>
      <c r="O18" s="35"/>
      <c r="P18" s="284"/>
      <c r="Q18" s="36"/>
      <c r="S18" s="35"/>
      <c r="T18" s="281"/>
      <c r="U18" s="36" t="s">
        <v>31</v>
      </c>
    </row>
    <row r="19" spans="2:21" ht="15.6" customHeight="1" x14ac:dyDescent="0.25">
      <c r="B19" s="2" t="s">
        <v>25</v>
      </c>
      <c r="C19" s="3" t="s">
        <v>26</v>
      </c>
      <c r="D19" s="256">
        <v>0</v>
      </c>
      <c r="E19" s="250">
        <v>142.30000000000001</v>
      </c>
      <c r="F19" s="18">
        <v>652</v>
      </c>
      <c r="G19" s="18">
        <v>305.2</v>
      </c>
      <c r="H19" s="29">
        <v>0.48420000000000002</v>
      </c>
      <c r="J19" s="242">
        <v>0</v>
      </c>
      <c r="K19" s="243">
        <v>0</v>
      </c>
      <c r="L19" s="244">
        <v>0</v>
      </c>
      <c r="M19" s="245">
        <v>0</v>
      </c>
      <c r="O19" s="37"/>
      <c r="P19" s="285"/>
      <c r="Q19" s="38"/>
      <c r="S19" s="37"/>
      <c r="T19" s="282"/>
      <c r="U19" s="38"/>
    </row>
    <row r="21" spans="2:21" ht="41.45" customHeight="1" x14ac:dyDescent="0.2">
      <c r="C21" s="41"/>
      <c r="D21" s="42">
        <f>+SUM(D5:D19)</f>
        <v>100</v>
      </c>
      <c r="J21"/>
      <c r="K21"/>
      <c r="L21"/>
      <c r="M21"/>
    </row>
    <row r="22" spans="2:21" x14ac:dyDescent="0.2">
      <c r="D22" s="1"/>
      <c r="E22" s="1"/>
      <c r="J22" s="21"/>
      <c r="K22" s="21"/>
      <c r="L22" s="21"/>
      <c r="M22" s="21"/>
    </row>
  </sheetData>
  <mergeCells count="22">
    <mergeCell ref="T17:T19"/>
    <mergeCell ref="S7:S8"/>
    <mergeCell ref="T7:T8"/>
    <mergeCell ref="S9:S10"/>
    <mergeCell ref="T9:T10"/>
    <mergeCell ref="T11:T12"/>
    <mergeCell ref="S11:S12"/>
    <mergeCell ref="T14:T16"/>
    <mergeCell ref="S2:U2"/>
    <mergeCell ref="S3:U4"/>
    <mergeCell ref="U7:U8"/>
    <mergeCell ref="U9:U10"/>
    <mergeCell ref="U11:U12"/>
    <mergeCell ref="P14:P16"/>
    <mergeCell ref="P17:P19"/>
    <mergeCell ref="O2:Q4"/>
    <mergeCell ref="H2:H4"/>
    <mergeCell ref="B2:B4"/>
    <mergeCell ref="C2:C4"/>
    <mergeCell ref="P5:P7"/>
    <mergeCell ref="P8:P10"/>
    <mergeCell ref="P11:P1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110"/>
  <sheetViews>
    <sheetView showGridLines="0" tabSelected="1" workbookViewId="0">
      <selection activeCell="M41" sqref="M41"/>
    </sheetView>
  </sheetViews>
  <sheetFormatPr defaultColWidth="9" defaultRowHeight="12" x14ac:dyDescent="0.2"/>
  <cols>
    <col min="1" max="1" width="1.7109375" style="43" customWidth="1"/>
    <col min="2" max="2" width="14.28515625" style="45" customWidth="1"/>
    <col min="3" max="4" width="12.28515625" style="43" customWidth="1"/>
    <col min="5" max="6" width="10.7109375" style="45" customWidth="1"/>
    <col min="7" max="7" width="12.85546875" style="45" customWidth="1"/>
    <col min="8" max="20" width="10.7109375" style="45" customWidth="1"/>
    <col min="21" max="21" width="2.42578125" style="45" customWidth="1"/>
    <col min="22" max="23" width="11.42578125" style="192" customWidth="1"/>
    <col min="24" max="28" width="9" style="192"/>
    <col min="29" max="29" width="11" style="192" bestFit="1" customWidth="1"/>
    <col min="30" max="30" width="9" style="192"/>
    <col min="31" max="16384" width="9" style="43"/>
  </cols>
  <sheetData>
    <row r="1" spans="1:30" x14ac:dyDescent="0.2">
      <c r="A1"/>
    </row>
    <row r="2" spans="1:30" x14ac:dyDescent="0.2">
      <c r="B2" s="55" t="s">
        <v>40</v>
      </c>
      <c r="C2" s="56">
        <v>220</v>
      </c>
      <c r="D2" s="57" t="s">
        <v>30</v>
      </c>
      <c r="G2" s="61"/>
      <c r="H2" s="61"/>
      <c r="I2" s="59"/>
    </row>
    <row r="3" spans="1:30" x14ac:dyDescent="0.2">
      <c r="B3" s="46" t="s">
        <v>41</v>
      </c>
      <c r="C3" s="47">
        <v>100</v>
      </c>
      <c r="D3" s="48" t="s">
        <v>31</v>
      </c>
      <c r="G3" s="61"/>
      <c r="I3" s="60"/>
    </row>
    <row r="4" spans="1:30" x14ac:dyDescent="0.2">
      <c r="B4" s="49" t="s">
        <v>42</v>
      </c>
      <c r="C4" s="50">
        <v>10000</v>
      </c>
      <c r="D4" s="51" t="s">
        <v>31</v>
      </c>
    </row>
    <row r="5" spans="1:30" x14ac:dyDescent="0.2">
      <c r="B5" s="52" t="s">
        <v>44</v>
      </c>
      <c r="C5" s="53">
        <v>100</v>
      </c>
      <c r="D5" s="54" t="s">
        <v>31</v>
      </c>
    </row>
    <row r="6" spans="1:30" x14ac:dyDescent="0.2">
      <c r="V6" s="270" t="s">
        <v>126</v>
      </c>
      <c r="W6" s="270"/>
    </row>
    <row r="7" spans="1:30" x14ac:dyDescent="0.2">
      <c r="B7" s="95"/>
      <c r="C7" s="96"/>
      <c r="D7" s="97"/>
      <c r="E7" s="317" t="s">
        <v>45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9"/>
      <c r="Q7" s="109"/>
      <c r="R7" s="110"/>
      <c r="S7" s="111" t="s">
        <v>46</v>
      </c>
      <c r="T7" s="111" t="s">
        <v>46</v>
      </c>
      <c r="V7" s="271"/>
      <c r="W7" s="272"/>
      <c r="X7" s="272"/>
      <c r="Y7" s="272"/>
      <c r="Z7" s="272"/>
      <c r="AA7" s="272"/>
      <c r="AB7" s="272"/>
      <c r="AC7" s="272"/>
      <c r="AD7" s="273"/>
    </row>
    <row r="8" spans="1:30" x14ac:dyDescent="0.2">
      <c r="B8" s="98" t="s">
        <v>43</v>
      </c>
      <c r="C8" s="99"/>
      <c r="D8" s="100"/>
      <c r="E8" s="75"/>
      <c r="F8" s="76"/>
      <c r="G8" s="76"/>
      <c r="H8" s="76"/>
      <c r="I8" s="76"/>
      <c r="J8" s="77"/>
      <c r="K8" s="118" t="s">
        <v>47</v>
      </c>
      <c r="L8" s="76"/>
      <c r="M8" s="77"/>
      <c r="N8" s="75" t="s">
        <v>48</v>
      </c>
      <c r="O8" s="76"/>
      <c r="P8" s="76"/>
      <c r="Q8" s="112" t="s">
        <v>49</v>
      </c>
      <c r="R8" s="113" t="s">
        <v>49</v>
      </c>
      <c r="S8" s="114" t="s">
        <v>50</v>
      </c>
      <c r="T8" s="114" t="s">
        <v>51</v>
      </c>
      <c r="V8" s="274" t="s">
        <v>119</v>
      </c>
      <c r="W8" s="275"/>
      <c r="X8" s="275"/>
      <c r="Y8" s="275"/>
      <c r="Z8" s="275"/>
      <c r="AA8" s="275"/>
      <c r="AB8" s="275"/>
      <c r="AC8" s="275"/>
      <c r="AD8" s="276"/>
    </row>
    <row r="9" spans="1:30" x14ac:dyDescent="0.2">
      <c r="B9" s="101" t="s">
        <v>31</v>
      </c>
      <c r="C9" s="102"/>
      <c r="D9" s="103"/>
      <c r="E9" s="105" t="s">
        <v>52</v>
      </c>
      <c r="F9" s="106" t="s">
        <v>53</v>
      </c>
      <c r="G9" s="107" t="s">
        <v>53</v>
      </c>
      <c r="H9" s="107" t="s">
        <v>54</v>
      </c>
      <c r="I9" s="107" t="s">
        <v>55</v>
      </c>
      <c r="J9" s="108" t="s">
        <v>56</v>
      </c>
      <c r="K9" s="105" t="s">
        <v>57</v>
      </c>
      <c r="L9" s="107" t="s">
        <v>38</v>
      </c>
      <c r="M9" s="108" t="s">
        <v>58</v>
      </c>
      <c r="N9" s="105" t="s">
        <v>59</v>
      </c>
      <c r="O9" s="107"/>
      <c r="P9" s="107"/>
      <c r="Q9" s="115" t="s">
        <v>60</v>
      </c>
      <c r="R9" s="116" t="s">
        <v>61</v>
      </c>
      <c r="S9" s="117" t="s">
        <v>62</v>
      </c>
      <c r="T9" s="117" t="s">
        <v>63</v>
      </c>
      <c r="V9" s="277" t="s">
        <v>120</v>
      </c>
      <c r="W9" s="278" t="s">
        <v>38</v>
      </c>
      <c r="X9" s="278" t="s">
        <v>55</v>
      </c>
      <c r="Y9" s="278" t="s">
        <v>56</v>
      </c>
      <c r="Z9" s="278" t="s">
        <v>121</v>
      </c>
      <c r="AA9" s="278" t="s">
        <v>122</v>
      </c>
      <c r="AB9" s="278" t="s">
        <v>123</v>
      </c>
      <c r="AC9" s="278" t="s">
        <v>124</v>
      </c>
      <c r="AD9" s="279" t="s">
        <v>125</v>
      </c>
    </row>
    <row r="10" spans="1:30" x14ac:dyDescent="0.2">
      <c r="B10" s="45">
        <v>100</v>
      </c>
      <c r="C10" s="198">
        <v>1.8165446432655423</v>
      </c>
      <c r="D10" s="58">
        <v>0.15141417930167392</v>
      </c>
      <c r="E10" s="60">
        <v>0.41486000000000001</v>
      </c>
      <c r="F10" s="60">
        <v>0.73224999999999996</v>
      </c>
      <c r="G10" s="60">
        <v>11172.74360265728</v>
      </c>
      <c r="H10" s="60">
        <v>0.47320652437832872</v>
      </c>
      <c r="I10" s="222">
        <v>1.5362820123382786E-2</v>
      </c>
      <c r="J10" s="222">
        <v>6.4845185812651175E-3</v>
      </c>
      <c r="K10" s="60">
        <v>-0.99351548141873491</v>
      </c>
      <c r="L10" s="60">
        <v>2.2676360171602333E-3</v>
      </c>
      <c r="M10" s="60">
        <v>-5.7298843919822553E-5</v>
      </c>
      <c r="N10" s="60">
        <v>0.99129</v>
      </c>
      <c r="O10" s="60"/>
      <c r="P10" s="60"/>
      <c r="Q10" s="60">
        <v>3.3973490880000005E-2</v>
      </c>
      <c r="R10" s="60">
        <v>0.19076384760000001</v>
      </c>
      <c r="S10" s="60">
        <v>0.26422838405337945</v>
      </c>
      <c r="T10" s="60">
        <v>1.3713236640530757E-2</v>
      </c>
      <c r="V10" s="192">
        <f>1/C10</f>
        <v>0.55049569175593338</v>
      </c>
      <c r="W10" s="192">
        <v>3.6550000000000003E-3</v>
      </c>
      <c r="X10" s="192">
        <f t="shared" ref="X10:X38" si="0">+-0.06125*D10*V10*EXP(-1.2*(1-V10)^2)</f>
        <v>-4.0061331124706147E-3</v>
      </c>
      <c r="Y10" s="192">
        <f t="shared" ref="Y10:Y38" si="1">+(14.76*V10)-(9.76*V10^2)+(4.58*V10^3)</f>
        <v>5.9316518913136509</v>
      </c>
      <c r="Z10" s="192">
        <f t="shared" ref="Z10:Z38" si="2">2.18+2.82*V10</f>
        <v>3.7323978507517319</v>
      </c>
      <c r="AA10" s="192">
        <f>+(90.7*V10)-(242.2*V10^2)+(42.4*V10^3)</f>
        <v>-16.394272043948604</v>
      </c>
      <c r="AB10" s="192">
        <f>+((W10)+(W10^2)+(W10^3)-(W10^4))/((1-W10)^3)</f>
        <v>3.7089276030674275E-3</v>
      </c>
      <c r="AC10" s="192">
        <f t="shared" ref="AC10:AC38" si="3">+X10+AB10-Y10*(W10^2)+(AA10*W10^Z10)</f>
        <v>-3.7645972995246023E-4</v>
      </c>
      <c r="AD10" s="192">
        <f t="shared" ref="AD10:AD38" si="4">+(0.06125*D10*V10*EXP(-1.2*(1-V10)^2)/W10)</f>
        <v>1.0960692510179519</v>
      </c>
    </row>
    <row r="11" spans="1:30" x14ac:dyDescent="0.2">
      <c r="B11" s="45">
        <v>200</v>
      </c>
      <c r="C11" s="198">
        <v>1.8165446432655423</v>
      </c>
      <c r="D11" s="58">
        <v>0.30282835860334784</v>
      </c>
      <c r="E11" s="60">
        <v>0.41486000000000001</v>
      </c>
      <c r="F11" s="60">
        <v>0.73224999999999996</v>
      </c>
      <c r="G11" s="60">
        <v>11172.74360265728</v>
      </c>
      <c r="H11" s="60">
        <v>0.47320652437832872</v>
      </c>
      <c r="I11" s="60">
        <v>3.0725640246765572E-2</v>
      </c>
      <c r="J11" s="60">
        <v>1.2969037162530235E-2</v>
      </c>
      <c r="K11" s="60">
        <v>-0.98703096283746972</v>
      </c>
      <c r="L11" s="60">
        <v>4.2829781469358305E-3</v>
      </c>
      <c r="M11" s="60">
        <v>-2.2810470607883336E-4</v>
      </c>
      <c r="N11" s="60">
        <v>0.98290999999999995</v>
      </c>
      <c r="O11" s="60"/>
      <c r="P11" s="60"/>
      <c r="Q11" s="60">
        <v>1.6843145759999997E-2</v>
      </c>
      <c r="R11" s="60">
        <v>9.4575600199999985E-2</v>
      </c>
      <c r="S11" s="60">
        <v>0.53296223423970557</v>
      </c>
      <c r="T11" s="60">
        <v>1.379369100535913E-2</v>
      </c>
      <c r="V11" s="192">
        <f t="shared" ref="V11:V38" si="5">1/C11</f>
        <v>0.55049569175593338</v>
      </c>
      <c r="W11" s="192">
        <v>8.1236318889732623E-3</v>
      </c>
      <c r="X11" s="192">
        <f t="shared" si="0"/>
        <v>-8.0122662249412294E-3</v>
      </c>
      <c r="Y11" s="192">
        <f t="shared" si="1"/>
        <v>5.9316518913136509</v>
      </c>
      <c r="Z11" s="192">
        <f t="shared" si="2"/>
        <v>3.7323978507517319</v>
      </c>
      <c r="AA11" s="192">
        <f t="shared" ref="AA11:AA38" si="6">+(90.7*V11)-(242.2*V11^2)+(42.4*V11^3)</f>
        <v>-16.394272043948604</v>
      </c>
      <c r="AB11" s="192">
        <f t="shared" ref="AB11:AB38" si="7">+((W11)+(W11^2)+(W11^3)-(W11^4))/((1-W11)^3)</f>
        <v>8.3930459242858649E-3</v>
      </c>
      <c r="AC11" s="192">
        <f t="shared" si="3"/>
        <v>-1.0928997465259597E-5</v>
      </c>
      <c r="AD11" s="192">
        <f t="shared" si="4"/>
        <v>0.98629114839839105</v>
      </c>
    </row>
    <row r="12" spans="1:30" x14ac:dyDescent="0.2">
      <c r="B12" s="45">
        <v>300</v>
      </c>
      <c r="C12" s="198">
        <v>1.8165446432655423</v>
      </c>
      <c r="D12" s="58">
        <v>0.45424253790502173</v>
      </c>
      <c r="E12" s="60">
        <v>0.41486000000000001</v>
      </c>
      <c r="F12" s="60">
        <v>0.73224999999999996</v>
      </c>
      <c r="G12" s="60">
        <v>11172.74360265728</v>
      </c>
      <c r="H12" s="60">
        <v>0.47320652437832872</v>
      </c>
      <c r="I12" s="60">
        <v>4.6088460370148361E-2</v>
      </c>
      <c r="J12" s="60">
        <v>1.9453555743795356E-2</v>
      </c>
      <c r="K12" s="60">
        <v>-0.98054644425620463</v>
      </c>
      <c r="L12" s="60">
        <v>6.046026389326789E-3</v>
      </c>
      <c r="M12" s="60">
        <v>-5.1078158207634727E-4</v>
      </c>
      <c r="N12" s="60">
        <v>0.97487999999999997</v>
      </c>
      <c r="O12" s="60"/>
      <c r="P12" s="60"/>
      <c r="Q12" s="60">
        <v>1.1137029120000001E-2</v>
      </c>
      <c r="R12" s="60">
        <v>6.2535302399999992E-2</v>
      </c>
      <c r="S12" s="60">
        <v>0.80602829526179987</v>
      </c>
      <c r="T12" s="60">
        <v>1.3890814736815546E-2</v>
      </c>
      <c r="V12" s="192">
        <f t="shared" si="5"/>
        <v>0.55049569175593338</v>
      </c>
      <c r="W12" s="192">
        <v>1.2283362007413808E-2</v>
      </c>
      <c r="X12" s="192">
        <f t="shared" si="0"/>
        <v>-1.2018399337411844E-2</v>
      </c>
      <c r="Y12" s="192">
        <f t="shared" si="1"/>
        <v>5.9316518913136509</v>
      </c>
      <c r="Z12" s="192">
        <f t="shared" si="2"/>
        <v>3.7323978507517319</v>
      </c>
      <c r="AA12" s="192">
        <f t="shared" si="6"/>
        <v>-16.394272043948604</v>
      </c>
      <c r="AB12" s="192">
        <f t="shared" si="7"/>
        <v>1.2905836934146132E-2</v>
      </c>
      <c r="AC12" s="192">
        <f t="shared" si="3"/>
        <v>-8.747200852907451E-6</v>
      </c>
      <c r="AD12" s="192">
        <f t="shared" si="4"/>
        <v>0.97842914099234057</v>
      </c>
    </row>
    <row r="13" spans="1:30" x14ac:dyDescent="0.2">
      <c r="B13" s="45">
        <v>400</v>
      </c>
      <c r="C13" s="198">
        <v>1.8165446432655423</v>
      </c>
      <c r="D13" s="58">
        <v>0.60565671720669567</v>
      </c>
      <c r="E13" s="60">
        <v>0.41486000000000001</v>
      </c>
      <c r="F13" s="60">
        <v>0.73224999999999996</v>
      </c>
      <c r="G13" s="60">
        <v>11172.74360265728</v>
      </c>
      <c r="H13" s="60">
        <v>0.47320652437832872</v>
      </c>
      <c r="I13" s="60">
        <v>6.1451280493531144E-2</v>
      </c>
      <c r="J13" s="60">
        <v>2.593807432506047E-2</v>
      </c>
      <c r="K13" s="60">
        <v>-0.97406192567493954</v>
      </c>
      <c r="L13" s="60">
        <v>7.5567807443331202E-3</v>
      </c>
      <c r="M13" s="60">
        <v>-9.0369346751167868E-4</v>
      </c>
      <c r="N13" s="60">
        <v>0.96721000000000001</v>
      </c>
      <c r="O13" s="60"/>
      <c r="P13" s="60"/>
      <c r="Q13" s="60">
        <v>8.2870552800000004E-3</v>
      </c>
      <c r="R13" s="60">
        <v>4.6532473099999992E-2</v>
      </c>
      <c r="S13" s="60">
        <v>1.0832268269694254</v>
      </c>
      <c r="T13" s="60">
        <v>1.4001594755235642E-2</v>
      </c>
      <c r="V13" s="192">
        <f t="shared" si="5"/>
        <v>0.55049569175593338</v>
      </c>
      <c r="W13" s="192">
        <v>1.6091204229712087E-2</v>
      </c>
      <c r="X13" s="192">
        <f t="shared" si="0"/>
        <v>-1.6024532449882459E-2</v>
      </c>
      <c r="Y13" s="192">
        <f t="shared" si="1"/>
        <v>5.9316518913136509</v>
      </c>
      <c r="Z13" s="192">
        <f t="shared" si="2"/>
        <v>3.7323978507517319</v>
      </c>
      <c r="AA13" s="192">
        <f t="shared" si="6"/>
        <v>-16.394272043948604</v>
      </c>
      <c r="AB13" s="192">
        <f t="shared" si="7"/>
        <v>1.7169813785153028E-2</v>
      </c>
      <c r="AC13" s="192">
        <f t="shared" si="3"/>
        <v>-3.939013184140969E-4</v>
      </c>
      <c r="AD13" s="192">
        <f t="shared" si="4"/>
        <v>0.99585663205327291</v>
      </c>
    </row>
    <row r="14" spans="1:30" x14ac:dyDescent="0.2">
      <c r="B14" s="45">
        <v>500</v>
      </c>
      <c r="C14" s="198">
        <v>1.8165446432655423</v>
      </c>
      <c r="D14" s="58">
        <v>0.75707089650836956</v>
      </c>
      <c r="E14" s="60">
        <v>0.41486000000000001</v>
      </c>
      <c r="F14" s="60">
        <v>0.73224999999999996</v>
      </c>
      <c r="G14" s="60">
        <v>11172.74360265728</v>
      </c>
      <c r="H14" s="60">
        <v>0.47320652437832872</v>
      </c>
      <c r="I14" s="60">
        <v>7.6814100616913947E-2</v>
      </c>
      <c r="J14" s="60">
        <v>3.2422592906325591E-2</v>
      </c>
      <c r="K14" s="60">
        <v>-0.96757740709367446</v>
      </c>
      <c r="L14" s="60">
        <v>8.8152412119548215E-3</v>
      </c>
      <c r="M14" s="60">
        <v>-1.4052043579841432E-3</v>
      </c>
      <c r="N14" s="60">
        <v>0.95992</v>
      </c>
      <c r="O14" s="60"/>
      <c r="P14" s="60"/>
      <c r="Q14" s="60">
        <v>6.5796756480000001E-3</v>
      </c>
      <c r="R14" s="60">
        <v>3.6945400959999999E-2</v>
      </c>
      <c r="S14" s="60">
        <v>1.364316582779161</v>
      </c>
      <c r="T14" s="60">
        <v>1.4124522684196715E-2</v>
      </c>
      <c r="V14" s="192">
        <f t="shared" si="5"/>
        <v>0.55049569175593338</v>
      </c>
      <c r="W14" s="192">
        <v>2.0760196283718245E-2</v>
      </c>
      <c r="X14" s="192">
        <f t="shared" si="0"/>
        <v>-2.0030665562353073E-2</v>
      </c>
      <c r="Y14" s="192">
        <f t="shared" si="1"/>
        <v>5.9316518913136509</v>
      </c>
      <c r="Z14" s="192">
        <f t="shared" si="2"/>
        <v>3.7323978507517319</v>
      </c>
      <c r="AA14" s="192">
        <f t="shared" si="6"/>
        <v>-16.394272043948604</v>
      </c>
      <c r="AB14" s="192">
        <f t="shared" si="7"/>
        <v>2.2577067514631843E-2</v>
      </c>
      <c r="AC14" s="192">
        <f t="shared" si="3"/>
        <v>-1.8644244711840967E-5</v>
      </c>
      <c r="AD14" s="192">
        <f t="shared" si="4"/>
        <v>0.96485916070372968</v>
      </c>
    </row>
    <row r="15" spans="1:30" x14ac:dyDescent="0.2">
      <c r="B15" s="45">
        <v>600</v>
      </c>
      <c r="C15" s="198">
        <v>1.8165446432655423</v>
      </c>
      <c r="D15" s="58">
        <v>0.90848507581004345</v>
      </c>
      <c r="E15" s="60">
        <v>0.41486000000000001</v>
      </c>
      <c r="F15" s="60">
        <v>0.73224999999999996</v>
      </c>
      <c r="G15" s="60">
        <v>11172.74360265728</v>
      </c>
      <c r="H15" s="60">
        <v>0.47320652437832872</v>
      </c>
      <c r="I15" s="60">
        <v>9.2176920740296722E-2</v>
      </c>
      <c r="J15" s="60">
        <v>3.8907111487590712E-2</v>
      </c>
      <c r="K15" s="60">
        <v>-0.96109288851240926</v>
      </c>
      <c r="L15" s="60">
        <v>9.821407792191858E-3</v>
      </c>
      <c r="M15" s="60">
        <v>-2.013678249093054E-3</v>
      </c>
      <c r="N15" s="60">
        <v>0.95299999999999996</v>
      </c>
      <c r="O15" s="60"/>
      <c r="P15" s="60"/>
      <c r="Q15" s="60">
        <v>5.4435359999999997E-3</v>
      </c>
      <c r="R15" s="60">
        <v>3.0565886666666663E-2</v>
      </c>
      <c r="S15" s="60">
        <v>1.6490679212693042</v>
      </c>
      <c r="T15" s="60">
        <v>1.4258709958150272E-2</v>
      </c>
      <c r="V15" s="192">
        <f t="shared" si="5"/>
        <v>0.55049569175593338</v>
      </c>
      <c r="W15" s="192">
        <v>2.5094161983372835E-2</v>
      </c>
      <c r="X15" s="192">
        <f t="shared" si="0"/>
        <v>-2.4036798674823688E-2</v>
      </c>
      <c r="Y15" s="192">
        <f t="shared" si="1"/>
        <v>5.9316518913136509</v>
      </c>
      <c r="Z15" s="192">
        <f t="shared" si="2"/>
        <v>3.7323978507517319</v>
      </c>
      <c r="AA15" s="192">
        <f t="shared" si="6"/>
        <v>-16.394272043948604</v>
      </c>
      <c r="AB15" s="192">
        <f t="shared" si="7"/>
        <v>2.7778478787653462E-2</v>
      </c>
      <c r="AC15" s="192">
        <f t="shared" si="3"/>
        <v>-1.1010245571950092E-5</v>
      </c>
      <c r="AD15" s="192">
        <f t="shared" si="4"/>
        <v>0.95786417138576907</v>
      </c>
    </row>
    <row r="16" spans="1:30" x14ac:dyDescent="0.2">
      <c r="B16" s="45">
        <v>700</v>
      </c>
      <c r="C16" s="198">
        <v>1.8165446432655423</v>
      </c>
      <c r="D16" s="58">
        <v>1.0598992551117175</v>
      </c>
      <c r="E16" s="60">
        <v>0.41486000000000001</v>
      </c>
      <c r="F16" s="60">
        <v>0.73224999999999996</v>
      </c>
      <c r="G16" s="60">
        <v>11172.74360265728</v>
      </c>
      <c r="H16" s="60">
        <v>0.47320652437832872</v>
      </c>
      <c r="I16" s="60">
        <v>0.10753974086367951</v>
      </c>
      <c r="J16" s="60">
        <v>4.5391630068855826E-2</v>
      </c>
      <c r="K16" s="60">
        <v>-0.95460836993114417</v>
      </c>
      <c r="L16" s="60">
        <v>1.0575280485044291E-2</v>
      </c>
      <c r="M16" s="60">
        <v>-2.7274791364377271E-3</v>
      </c>
      <c r="N16" s="60">
        <v>0.94647999999999999</v>
      </c>
      <c r="O16" s="60"/>
      <c r="P16" s="60"/>
      <c r="Q16" s="60">
        <v>4.6339660799999995E-3</v>
      </c>
      <c r="R16" s="60">
        <v>2.6020087314285716E-2</v>
      </c>
      <c r="S16" s="60">
        <v>1.9371657972676881</v>
      </c>
      <c r="T16" s="60">
        <v>1.4403539031680504E-2</v>
      </c>
      <c r="V16" s="192">
        <f t="shared" si="5"/>
        <v>0.55049569175593338</v>
      </c>
      <c r="W16" s="192">
        <v>2.9474625106529404E-2</v>
      </c>
      <c r="X16" s="192">
        <f t="shared" si="0"/>
        <v>-2.804293178729431E-2</v>
      </c>
      <c r="Y16" s="192">
        <f t="shared" si="1"/>
        <v>5.9316518913136509</v>
      </c>
      <c r="Z16" s="192">
        <f t="shared" si="2"/>
        <v>3.7323978507517319</v>
      </c>
      <c r="AA16" s="192">
        <f t="shared" si="6"/>
        <v>-16.394272043948604</v>
      </c>
      <c r="AB16" s="192">
        <f t="shared" si="7"/>
        <v>3.321993642526265E-2</v>
      </c>
      <c r="AC16" s="192">
        <f t="shared" si="3"/>
        <v>-7.912291769162536E-6</v>
      </c>
      <c r="AD16" s="192">
        <f t="shared" si="4"/>
        <v>0.95142624158710887</v>
      </c>
    </row>
    <row r="17" spans="2:30" x14ac:dyDescent="0.2">
      <c r="B17" s="45">
        <v>800</v>
      </c>
      <c r="C17" s="198">
        <v>1.8165446432655423</v>
      </c>
      <c r="D17" s="58">
        <v>1.2113134344133913</v>
      </c>
      <c r="E17" s="60">
        <v>0.41486000000000001</v>
      </c>
      <c r="F17" s="60">
        <v>0.73224999999999996</v>
      </c>
      <c r="G17" s="60">
        <v>11172.74360265728</v>
      </c>
      <c r="H17" s="60">
        <v>0.47320652437832872</v>
      </c>
      <c r="I17" s="60">
        <v>0.12290256098706229</v>
      </c>
      <c r="J17" s="60">
        <v>5.187614865012094E-2</v>
      </c>
      <c r="K17" s="60">
        <v>-0.94812385134987909</v>
      </c>
      <c r="L17" s="60">
        <v>1.1076859290512072E-2</v>
      </c>
      <c r="M17" s="60">
        <v>-3.5449710156174761E-3</v>
      </c>
      <c r="N17" s="60">
        <v>0.94035000000000002</v>
      </c>
      <c r="O17" s="60"/>
      <c r="P17" s="60"/>
      <c r="Q17" s="60">
        <v>4.0284594E-3</v>
      </c>
      <c r="R17" s="60">
        <v>2.2620119250000001E-2</v>
      </c>
      <c r="S17" s="60">
        <v>2.228335873479232</v>
      </c>
      <c r="T17" s="60">
        <v>1.4558587955862094E-2</v>
      </c>
      <c r="V17" s="192">
        <f t="shared" si="5"/>
        <v>0.55049569175593338</v>
      </c>
      <c r="W17" s="192">
        <v>3.3902900966456706E-2</v>
      </c>
      <c r="X17" s="192">
        <f t="shared" si="0"/>
        <v>-3.2049064899764917E-2</v>
      </c>
      <c r="Y17" s="192">
        <f t="shared" si="1"/>
        <v>5.9316518913136509</v>
      </c>
      <c r="Z17" s="192">
        <f t="shared" si="2"/>
        <v>3.7323978507517319</v>
      </c>
      <c r="AA17" s="192">
        <f t="shared" si="6"/>
        <v>-16.394272043948604</v>
      </c>
      <c r="AB17" s="192">
        <f t="shared" si="7"/>
        <v>3.891530817674721E-2</v>
      </c>
      <c r="AC17" s="192">
        <f t="shared" si="3"/>
        <v>-5.2107778675759405E-6</v>
      </c>
      <c r="AD17" s="192">
        <f t="shared" si="4"/>
        <v>0.94531924956728741</v>
      </c>
    </row>
    <row r="18" spans="2:30" x14ac:dyDescent="0.2">
      <c r="B18" s="45">
        <v>900</v>
      </c>
      <c r="C18" s="198">
        <v>1.8165446432655423</v>
      </c>
      <c r="D18" s="58">
        <v>1.3627276137150652</v>
      </c>
      <c r="E18" s="60">
        <v>0.41486000000000001</v>
      </c>
      <c r="F18" s="60">
        <v>0.73224999999999996</v>
      </c>
      <c r="G18" s="60">
        <v>11172.74360265728</v>
      </c>
      <c r="H18" s="60">
        <v>0.47320652437832872</v>
      </c>
      <c r="I18" s="60">
        <v>0.13826538111044509</v>
      </c>
      <c r="J18" s="60">
        <v>5.8360667231386061E-2</v>
      </c>
      <c r="K18" s="60">
        <v>-0.94163933276861389</v>
      </c>
      <c r="L18" s="60">
        <v>1.1326144208595231E-2</v>
      </c>
      <c r="M18" s="60">
        <v>-4.4645178822316179E-3</v>
      </c>
      <c r="N18" s="60">
        <v>0.93462999999999996</v>
      </c>
      <c r="O18" s="60"/>
      <c r="P18" s="60"/>
      <c r="Q18" s="60">
        <v>3.5590710400000003E-3</v>
      </c>
      <c r="R18" s="60">
        <v>1.9984466355555553E-2</v>
      </c>
      <c r="S18" s="60">
        <v>2.5222201228876355</v>
      </c>
      <c r="T18" s="60">
        <v>1.4723497575011591E-2</v>
      </c>
      <c r="V18" s="192">
        <f t="shared" si="5"/>
        <v>0.55049569175593338</v>
      </c>
      <c r="W18" s="192">
        <v>3.7632220072766939E-2</v>
      </c>
      <c r="X18" s="192">
        <f t="shared" si="0"/>
        <v>-3.6055198012235536E-2</v>
      </c>
      <c r="Y18" s="192">
        <f t="shared" si="1"/>
        <v>5.9316518913136509</v>
      </c>
      <c r="Z18" s="192">
        <f t="shared" si="2"/>
        <v>3.7323978507517319</v>
      </c>
      <c r="AA18" s="192">
        <f t="shared" si="6"/>
        <v>-16.394272043948604</v>
      </c>
      <c r="AB18" s="192">
        <f t="shared" si="7"/>
        <v>4.3868230844505425E-2</v>
      </c>
      <c r="AC18" s="192">
        <f t="shared" si="3"/>
        <v>-6.6636635235186442E-4</v>
      </c>
      <c r="AD18" s="192">
        <f t="shared" si="4"/>
        <v>0.95809383402089965</v>
      </c>
    </row>
    <row r="19" spans="2:30" x14ac:dyDescent="0.2">
      <c r="B19" s="45">
        <v>1000</v>
      </c>
      <c r="C19" s="198">
        <v>1.8165446432655423</v>
      </c>
      <c r="D19" s="58">
        <v>1.5141417930167391</v>
      </c>
      <c r="E19" s="60">
        <v>0.41486000000000001</v>
      </c>
      <c r="F19" s="60">
        <v>0.73224999999999996</v>
      </c>
      <c r="G19" s="60">
        <v>11172.74360265728</v>
      </c>
      <c r="H19" s="60">
        <v>0.47320652437832872</v>
      </c>
      <c r="I19" s="60">
        <v>0.15362820123382789</v>
      </c>
      <c r="J19" s="60">
        <v>6.4845185812651182E-2</v>
      </c>
      <c r="K19" s="60">
        <v>-0.9351548141873488</v>
      </c>
      <c r="L19" s="60">
        <v>1.1323135239293756E-2</v>
      </c>
      <c r="M19" s="60">
        <v>-5.4844837318794668E-3</v>
      </c>
      <c r="N19" s="60">
        <v>0.92932000000000003</v>
      </c>
      <c r="O19" s="60"/>
      <c r="P19" s="60"/>
      <c r="Q19" s="60">
        <v>3.1849655040000003E-3</v>
      </c>
      <c r="R19" s="60">
        <v>1.7883834080000001E-2</v>
      </c>
      <c r="S19" s="60">
        <v>2.8184796929827667</v>
      </c>
      <c r="T19" s="60">
        <v>1.4897983275331685E-2</v>
      </c>
      <c r="V19" s="192">
        <f t="shared" si="5"/>
        <v>0.55049569175593338</v>
      </c>
      <c r="W19" s="192">
        <v>4.1771764280771305E-2</v>
      </c>
      <c r="X19" s="192">
        <f t="shared" si="0"/>
        <v>-4.0061331124706147E-2</v>
      </c>
      <c r="Y19" s="192">
        <f t="shared" si="1"/>
        <v>5.9316518913136509</v>
      </c>
      <c r="Z19" s="192">
        <f t="shared" si="2"/>
        <v>3.7323978507517319</v>
      </c>
      <c r="AA19" s="192">
        <f t="shared" si="6"/>
        <v>-16.394272043948604</v>
      </c>
      <c r="AB19" s="192">
        <f t="shared" si="7"/>
        <v>4.9538741825871292E-2</v>
      </c>
      <c r="AC19" s="192">
        <f t="shared" si="3"/>
        <v>-9.8936748902735952E-4</v>
      </c>
      <c r="AD19" s="192">
        <f t="shared" si="4"/>
        <v>0.95905288690780732</v>
      </c>
    </row>
    <row r="20" spans="2:30" x14ac:dyDescent="0.2">
      <c r="B20" s="45">
        <v>1100</v>
      </c>
      <c r="C20" s="198">
        <v>1.8165446432655423</v>
      </c>
      <c r="D20" s="58">
        <v>1.665555972318413</v>
      </c>
      <c r="E20" s="60">
        <v>0.41486000000000001</v>
      </c>
      <c r="F20" s="60">
        <v>0.73224999999999996</v>
      </c>
      <c r="G20" s="60">
        <v>11172.74360265728</v>
      </c>
      <c r="H20" s="60">
        <v>0.47320652437832872</v>
      </c>
      <c r="I20" s="60">
        <v>0.16899102135721067</v>
      </c>
      <c r="J20" s="60">
        <v>7.1329704393916296E-2</v>
      </c>
      <c r="K20" s="60">
        <v>-0.92867029560608372</v>
      </c>
      <c r="L20" s="60">
        <v>1.1067832382607631E-2</v>
      </c>
      <c r="M20" s="60">
        <v>-6.6032325601603327E-3</v>
      </c>
      <c r="N20" s="60">
        <v>0.92442000000000002</v>
      </c>
      <c r="O20" s="60"/>
      <c r="P20" s="60"/>
      <c r="Q20" s="60">
        <v>2.8801565672727275E-3</v>
      </c>
      <c r="R20" s="60">
        <v>1.6172307709090911E-2</v>
      </c>
      <c r="S20" s="60">
        <v>3.1167613239772174</v>
      </c>
      <c r="T20" s="60">
        <v>1.5081792766718375E-2</v>
      </c>
      <c r="V20" s="192">
        <f t="shared" si="5"/>
        <v>0.55049569175593338</v>
      </c>
      <c r="W20" s="192">
        <v>4.6366658351656154E-2</v>
      </c>
      <c r="X20" s="192">
        <f t="shared" si="0"/>
        <v>-4.4067464237176765E-2</v>
      </c>
      <c r="Y20" s="192">
        <f t="shared" si="1"/>
        <v>5.9316518913136509</v>
      </c>
      <c r="Z20" s="192">
        <f t="shared" si="2"/>
        <v>3.7323978507517319</v>
      </c>
      <c r="AA20" s="192">
        <f t="shared" si="6"/>
        <v>-16.394272043948604</v>
      </c>
      <c r="AB20" s="192">
        <f t="shared" si="7"/>
        <v>5.6052566997359748E-2</v>
      </c>
      <c r="AC20" s="192">
        <f t="shared" si="3"/>
        <v>-9.3952193517731267E-4</v>
      </c>
      <c r="AD20" s="192">
        <f t="shared" si="4"/>
        <v>0.95041277080953879</v>
      </c>
    </row>
    <row r="21" spans="2:30" x14ac:dyDescent="0.2">
      <c r="B21" s="45">
        <v>1200</v>
      </c>
      <c r="C21" s="198">
        <v>1.8165446432655423</v>
      </c>
      <c r="D21" s="58">
        <v>1.8169701516200869</v>
      </c>
      <c r="E21" s="60">
        <v>0.41486000000000001</v>
      </c>
      <c r="F21" s="60">
        <v>0.73224999999999996</v>
      </c>
      <c r="G21" s="60">
        <v>11172.74360265728</v>
      </c>
      <c r="H21" s="60">
        <v>0.47320652437832872</v>
      </c>
      <c r="I21" s="60">
        <v>0.18435384148059344</v>
      </c>
      <c r="J21" s="60">
        <v>7.7814222975181424E-2</v>
      </c>
      <c r="K21" s="60">
        <v>-0.92218577702481852</v>
      </c>
      <c r="L21" s="60">
        <v>1.0560235638536837E-2</v>
      </c>
      <c r="M21" s="60">
        <v>-7.8191283626735351E-3</v>
      </c>
      <c r="N21" s="60">
        <v>0.91995000000000005</v>
      </c>
      <c r="O21" s="60"/>
      <c r="P21" s="60"/>
      <c r="Q21" s="60">
        <v>2.6273772000000003E-3</v>
      </c>
      <c r="R21" s="60">
        <v>1.47529315E-2</v>
      </c>
      <c r="S21" s="60">
        <v>3.4166242273376746</v>
      </c>
      <c r="T21" s="60">
        <v>1.5274640278864372E-2</v>
      </c>
      <c r="V21" s="192">
        <f t="shared" si="5"/>
        <v>0.55049569175593338</v>
      </c>
      <c r="W21" s="192">
        <v>5.1466990770338332E-2</v>
      </c>
      <c r="X21" s="192">
        <f t="shared" si="0"/>
        <v>-4.8073597349647376E-2</v>
      </c>
      <c r="Y21" s="192">
        <f t="shared" si="1"/>
        <v>5.9316518913136509</v>
      </c>
      <c r="Z21" s="192">
        <f t="shared" si="2"/>
        <v>3.7323978507517319</v>
      </c>
      <c r="AA21" s="192">
        <f t="shared" si="6"/>
        <v>-16.394272043948604</v>
      </c>
      <c r="AB21" s="192">
        <f t="shared" si="7"/>
        <v>6.3562884655728957E-2</v>
      </c>
      <c r="AC21" s="192">
        <f t="shared" si="3"/>
        <v>-4.7722700086113721E-4</v>
      </c>
      <c r="AD21" s="192">
        <f t="shared" si="4"/>
        <v>0.93406660521821983</v>
      </c>
    </row>
    <row r="22" spans="2:30" x14ac:dyDescent="0.2">
      <c r="B22" s="45">
        <v>1300</v>
      </c>
      <c r="C22" s="198">
        <v>1.8165446432655423</v>
      </c>
      <c r="D22" s="58">
        <v>1.9683843309217608</v>
      </c>
      <c r="E22" s="60">
        <v>0.41486000000000001</v>
      </c>
      <c r="F22" s="60">
        <v>0.73224999999999996</v>
      </c>
      <c r="G22" s="60">
        <v>11172.74360265728</v>
      </c>
      <c r="H22" s="60">
        <v>0.47320652437832872</v>
      </c>
      <c r="I22" s="60">
        <v>0.19971666160397622</v>
      </c>
      <c r="J22" s="60">
        <v>8.4298741556446524E-2</v>
      </c>
      <c r="K22" s="60">
        <v>-0.91570125844355343</v>
      </c>
      <c r="L22" s="60">
        <v>9.8003450070814797E-3</v>
      </c>
      <c r="M22" s="60">
        <v>-9.1305351350183875E-3</v>
      </c>
      <c r="N22" s="60">
        <v>0.91588999999999998</v>
      </c>
      <c r="O22" s="60"/>
      <c r="P22" s="60"/>
      <c r="Q22" s="60">
        <v>2.4145678523076921E-3</v>
      </c>
      <c r="R22" s="60">
        <v>1.3557990123076923E-2</v>
      </c>
      <c r="S22" s="60">
        <v>3.7177503988116132</v>
      </c>
      <c r="T22" s="60">
        <v>1.5476327398713907E-2</v>
      </c>
      <c r="V22" s="192">
        <f t="shared" si="5"/>
        <v>0.55049569175593338</v>
      </c>
      <c r="W22" s="192">
        <v>5.6603791352412114E-2</v>
      </c>
      <c r="X22" s="192">
        <f t="shared" si="0"/>
        <v>-5.2079730462118001E-2</v>
      </c>
      <c r="Y22" s="192">
        <f t="shared" si="1"/>
        <v>5.9316518913136509</v>
      </c>
      <c r="Z22" s="192">
        <f t="shared" si="2"/>
        <v>3.7323978507517319</v>
      </c>
      <c r="AA22" s="192">
        <f t="shared" si="6"/>
        <v>-16.394272043948604</v>
      </c>
      <c r="AB22" s="192">
        <f t="shared" si="7"/>
        <v>7.1435801366140889E-2</v>
      </c>
      <c r="AC22" s="192">
        <f t="shared" si="3"/>
        <v>-1.180146081662545E-5</v>
      </c>
      <c r="AD22" s="192">
        <f t="shared" si="4"/>
        <v>0.92007494935935374</v>
      </c>
    </row>
    <row r="23" spans="2:30" x14ac:dyDescent="0.2">
      <c r="B23" s="45">
        <v>1400</v>
      </c>
      <c r="C23" s="198">
        <v>1.8165446432655423</v>
      </c>
      <c r="D23" s="58">
        <v>2.1197985102234349</v>
      </c>
      <c r="E23" s="60">
        <v>0.41486000000000001</v>
      </c>
      <c r="F23" s="60">
        <v>0.73224999999999996</v>
      </c>
      <c r="G23" s="60">
        <v>11172.74360265728</v>
      </c>
      <c r="H23" s="60">
        <v>0.47320652437832872</v>
      </c>
      <c r="I23" s="60">
        <v>0.21507948172735902</v>
      </c>
      <c r="J23" s="60">
        <v>9.0783260137711652E-2</v>
      </c>
      <c r="K23" s="60">
        <v>-0.90921673986228835</v>
      </c>
      <c r="L23" s="60">
        <v>8.7881604882414435E-3</v>
      </c>
      <c r="M23" s="60">
        <v>-1.0535816872794208E-2</v>
      </c>
      <c r="N23" s="60">
        <v>0.91224000000000005</v>
      </c>
      <c r="O23" s="60"/>
      <c r="P23" s="60"/>
      <c r="Q23" s="60">
        <v>2.2331635199999999E-3</v>
      </c>
      <c r="R23" s="60">
        <v>1.2539390400000001E-2</v>
      </c>
      <c r="S23" s="60">
        <v>4.0197506879722908</v>
      </c>
      <c r="T23" s="60">
        <v>1.5686613480700388E-2</v>
      </c>
      <c r="V23" s="192">
        <f t="shared" si="5"/>
        <v>0.55049569175593338</v>
      </c>
      <c r="W23" s="192">
        <v>6.1233113515249016E-2</v>
      </c>
      <c r="X23" s="192">
        <f t="shared" si="0"/>
        <v>-5.6085863574588619E-2</v>
      </c>
      <c r="Y23" s="192">
        <f t="shared" si="1"/>
        <v>5.9316518913136509</v>
      </c>
      <c r="Z23" s="192">
        <f t="shared" si="2"/>
        <v>3.7323978507517319</v>
      </c>
      <c r="AA23" s="192">
        <f t="shared" si="6"/>
        <v>-16.394272043948604</v>
      </c>
      <c r="AB23" s="192">
        <f t="shared" si="7"/>
        <v>7.8806480876083204E-2</v>
      </c>
      <c r="AC23" s="192">
        <f t="shared" si="3"/>
        <v>-6.7559644699522522E-6</v>
      </c>
      <c r="AD23" s="192">
        <f t="shared" si="4"/>
        <v>0.9159400911505412</v>
      </c>
    </row>
    <row r="24" spans="2:30" x14ac:dyDescent="0.2">
      <c r="B24" s="45">
        <v>1500</v>
      </c>
      <c r="C24" s="198">
        <v>1.8165446432655423</v>
      </c>
      <c r="D24" s="58">
        <v>2.2712126895251088</v>
      </c>
      <c r="E24" s="60">
        <v>0.41486000000000001</v>
      </c>
      <c r="F24" s="60">
        <v>0.73224999999999996</v>
      </c>
      <c r="G24" s="60">
        <v>11172.74360265728</v>
      </c>
      <c r="H24" s="60">
        <v>0.47320652437832872</v>
      </c>
      <c r="I24" s="60">
        <v>0.2304423018507418</v>
      </c>
      <c r="J24" s="60">
        <v>9.726777871897678E-2</v>
      </c>
      <c r="K24" s="60">
        <v>-0.90273222128102326</v>
      </c>
      <c r="L24" s="60">
        <v>7.5236820820167444E-3</v>
      </c>
      <c r="M24" s="60">
        <v>-1.2033337571600307E-2</v>
      </c>
      <c r="N24" s="60">
        <v>0.90902000000000005</v>
      </c>
      <c r="O24" s="60"/>
      <c r="P24" s="60"/>
      <c r="Q24" s="60">
        <v>2.0769288959999999E-3</v>
      </c>
      <c r="R24" s="60">
        <v>1.1662120586666666E-2</v>
      </c>
      <c r="S24" s="60">
        <v>4.3221318809532434</v>
      </c>
      <c r="T24" s="60">
        <v>1.5905175436908957E-2</v>
      </c>
      <c r="V24" s="192">
        <f t="shared" si="5"/>
        <v>0.55049569175593338</v>
      </c>
      <c r="W24" s="192">
        <v>6.5873264670283788E-2</v>
      </c>
      <c r="X24" s="192">
        <f t="shared" si="0"/>
        <v>-6.0091996687059224E-2</v>
      </c>
      <c r="Y24" s="192">
        <f t="shared" si="1"/>
        <v>5.9316518913136509</v>
      </c>
      <c r="Z24" s="192">
        <f t="shared" si="2"/>
        <v>3.7323978507517319</v>
      </c>
      <c r="AA24" s="192">
        <f t="shared" si="6"/>
        <v>-16.394272043948604</v>
      </c>
      <c r="AB24" s="192">
        <f t="shared" si="7"/>
        <v>8.6466087962048924E-2</v>
      </c>
      <c r="AC24" s="192">
        <f t="shared" si="3"/>
        <v>-4.260550300855411E-6</v>
      </c>
      <c r="AD24" s="192">
        <f t="shared" si="4"/>
        <v>0.91223650426069491</v>
      </c>
    </row>
    <row r="25" spans="2:30" x14ac:dyDescent="0.2">
      <c r="B25" s="45">
        <v>1600</v>
      </c>
      <c r="C25" s="198">
        <v>1.8165446432655423</v>
      </c>
      <c r="D25" s="58">
        <v>2.4226268688267827</v>
      </c>
      <c r="E25" s="60">
        <v>0.41486000000000001</v>
      </c>
      <c r="F25" s="60">
        <v>0.73224999999999996</v>
      </c>
      <c r="G25" s="60">
        <v>11172.74360265728</v>
      </c>
      <c r="H25" s="60">
        <v>0.47320652437832872</v>
      </c>
      <c r="I25" s="60">
        <v>0.24580512197412457</v>
      </c>
      <c r="J25" s="60">
        <v>0.10375229730024188</v>
      </c>
      <c r="K25" s="60">
        <v>-0.89624770269975818</v>
      </c>
      <c r="L25" s="60">
        <v>6.0069097884074777E-3</v>
      </c>
      <c r="M25" s="60">
        <v>-1.3621461227035996E-2</v>
      </c>
      <c r="N25" s="60">
        <v>0.90620999999999996</v>
      </c>
      <c r="O25" s="60"/>
      <c r="P25" s="60"/>
      <c r="Q25" s="60">
        <v>1.9411018200000002E-3</v>
      </c>
      <c r="R25" s="60">
        <v>1.0899440775E-2</v>
      </c>
      <c r="S25" s="60">
        <v>4.6245696662499771</v>
      </c>
      <c r="T25" s="60">
        <v>1.6131796780321228E-2</v>
      </c>
      <c r="V25" s="192">
        <f t="shared" si="5"/>
        <v>0.55049569175593338</v>
      </c>
      <c r="W25" s="192">
        <v>7.0520681642131974E-2</v>
      </c>
      <c r="X25" s="192">
        <f t="shared" si="0"/>
        <v>-6.4098129799529835E-2</v>
      </c>
      <c r="Y25" s="192">
        <f t="shared" si="1"/>
        <v>5.9316518913136509</v>
      </c>
      <c r="Z25" s="192">
        <f t="shared" si="2"/>
        <v>3.7323978507517319</v>
      </c>
      <c r="AA25" s="192">
        <f t="shared" si="6"/>
        <v>-16.394272043948604</v>
      </c>
      <c r="AB25" s="192">
        <f t="shared" si="7"/>
        <v>9.4419913026635924E-2</v>
      </c>
      <c r="AC25" s="192">
        <f t="shared" si="3"/>
        <v>-1.7344241368482359E-6</v>
      </c>
      <c r="AD25" s="192">
        <f t="shared" si="4"/>
        <v>0.90892669082249711</v>
      </c>
    </row>
    <row r="26" spans="2:30" x14ac:dyDescent="0.2">
      <c r="B26" s="45">
        <v>1700</v>
      </c>
      <c r="C26" s="198">
        <v>1.8165446432655423</v>
      </c>
      <c r="D26" s="58">
        <v>2.5740410481284566</v>
      </c>
      <c r="E26" s="60">
        <v>0.41486000000000001</v>
      </c>
      <c r="F26" s="60">
        <v>0.73224999999999996</v>
      </c>
      <c r="G26" s="60">
        <v>11172.74360265728</v>
      </c>
      <c r="H26" s="60">
        <v>0.47320652437832872</v>
      </c>
      <c r="I26" s="60">
        <v>0.26116794209750738</v>
      </c>
      <c r="J26" s="60">
        <v>0.11023681588150701</v>
      </c>
      <c r="K26" s="60">
        <v>-0.88976318411849298</v>
      </c>
      <c r="L26" s="60">
        <v>4.2378436074135342E-3</v>
      </c>
      <c r="M26" s="60">
        <v>-1.5298551834700601E-2</v>
      </c>
      <c r="N26" s="60">
        <v>0.90380000000000005</v>
      </c>
      <c r="O26" s="60"/>
      <c r="P26" s="60"/>
      <c r="Q26" s="60">
        <v>1.8220608000000004E-3</v>
      </c>
      <c r="R26" s="60">
        <v>1.0231015999999999E-2</v>
      </c>
      <c r="S26" s="60">
        <v>4.9267074928973962</v>
      </c>
      <c r="T26" s="60">
        <v>1.6366226784346707E-2</v>
      </c>
      <c r="V26" s="192">
        <f t="shared" si="5"/>
        <v>0.55049569175593338</v>
      </c>
      <c r="W26" s="192">
        <v>7.5168555643161813E-2</v>
      </c>
      <c r="X26" s="192">
        <f t="shared" si="0"/>
        <v>-6.8104262912000446E-2</v>
      </c>
      <c r="Y26" s="192">
        <f t="shared" si="1"/>
        <v>5.9316518913136509</v>
      </c>
      <c r="Z26" s="192">
        <f t="shared" si="2"/>
        <v>3.7323978507517319</v>
      </c>
      <c r="AA26" s="192">
        <f t="shared" si="6"/>
        <v>-16.394272043948604</v>
      </c>
      <c r="AB26" s="192">
        <f t="shared" si="7"/>
        <v>0.10266695083247103</v>
      </c>
      <c r="AC26" s="192">
        <f t="shared" si="3"/>
        <v>8.1183221160808713E-7</v>
      </c>
      <c r="AD26" s="192">
        <f t="shared" si="4"/>
        <v>0.90602064027015772</v>
      </c>
    </row>
    <row r="27" spans="2:30" x14ac:dyDescent="0.2">
      <c r="B27" s="45">
        <v>1800</v>
      </c>
      <c r="C27" s="198">
        <v>1.8165446432655423</v>
      </c>
      <c r="D27" s="58">
        <v>2.7254552274301305</v>
      </c>
      <c r="E27" s="60">
        <v>0.41486000000000001</v>
      </c>
      <c r="F27" s="60">
        <v>0.73224999999999996</v>
      </c>
      <c r="G27" s="60">
        <v>11172.74360265728</v>
      </c>
      <c r="H27" s="60">
        <v>0.47320652437832872</v>
      </c>
      <c r="I27" s="60">
        <v>0.27653076222089018</v>
      </c>
      <c r="J27" s="60">
        <v>0.11672133446277212</v>
      </c>
      <c r="K27" s="60">
        <v>-0.88327866553722789</v>
      </c>
      <c r="L27" s="60">
        <v>2.2164835390349902E-3</v>
      </c>
      <c r="M27" s="60">
        <v>-1.7062973390193428E-2</v>
      </c>
      <c r="N27" s="60">
        <v>0.90180000000000005</v>
      </c>
      <c r="O27" s="60"/>
      <c r="P27" s="60"/>
      <c r="Q27" s="60">
        <v>1.7170272000000004E-3</v>
      </c>
      <c r="R27" s="60">
        <v>9.6412439999999985E-3</v>
      </c>
      <c r="S27" s="60">
        <v>5.2280829307040815</v>
      </c>
      <c r="T27" s="60">
        <v>1.6608112213924414E-2</v>
      </c>
      <c r="V27" s="192">
        <f t="shared" si="5"/>
        <v>0.55049569175593338</v>
      </c>
      <c r="W27" s="192">
        <v>7.9809879866555508E-2</v>
      </c>
      <c r="X27" s="192">
        <f t="shared" si="0"/>
        <v>-7.2110396024471071E-2</v>
      </c>
      <c r="Y27" s="192">
        <f t="shared" si="1"/>
        <v>5.9316518913136509</v>
      </c>
      <c r="Z27" s="192">
        <f t="shared" si="2"/>
        <v>3.7323978507517319</v>
      </c>
      <c r="AA27" s="192">
        <f t="shared" si="6"/>
        <v>-16.394272043948604</v>
      </c>
      <c r="AB27" s="192">
        <f t="shared" si="7"/>
        <v>0.11120447180480804</v>
      </c>
      <c r="AC27" s="192">
        <f t="shared" si="3"/>
        <v>3.3549421424993332E-6</v>
      </c>
      <c r="AD27" s="192">
        <f t="shared" si="4"/>
        <v>0.90352718416619338</v>
      </c>
    </row>
    <row r="28" spans="2:30" x14ac:dyDescent="0.2">
      <c r="B28" s="45">
        <v>1900</v>
      </c>
      <c r="C28" s="198">
        <v>1.8165446432655423</v>
      </c>
      <c r="D28" s="58">
        <v>2.8768694067318044</v>
      </c>
      <c r="E28" s="60">
        <v>0.41486000000000001</v>
      </c>
      <c r="F28" s="60">
        <v>0.73224999999999996</v>
      </c>
      <c r="G28" s="60">
        <v>11172.74360265728</v>
      </c>
      <c r="H28" s="60">
        <v>0.47320652437832872</v>
      </c>
      <c r="I28" s="60">
        <v>0.29189358234427293</v>
      </c>
      <c r="J28" s="60">
        <v>0.12320585304403724</v>
      </c>
      <c r="K28" s="60">
        <v>-0.87679414695596281</v>
      </c>
      <c r="L28" s="60">
        <v>-5.7170416728242676E-5</v>
      </c>
      <c r="M28" s="60">
        <v>-1.8913089889113787E-2</v>
      </c>
      <c r="N28" s="60">
        <v>0.9002</v>
      </c>
      <c r="O28" s="60"/>
      <c r="P28" s="60"/>
      <c r="Q28" s="60">
        <v>1.6237712842105264E-3</v>
      </c>
      <c r="R28" s="60">
        <v>9.1176046315789468E-3</v>
      </c>
      <c r="S28" s="60">
        <v>5.528340526257737</v>
      </c>
      <c r="T28" s="60">
        <v>1.6857159057649059E-2</v>
      </c>
      <c r="V28" s="192">
        <f t="shared" si="5"/>
        <v>0.55049569175593338</v>
      </c>
      <c r="W28" s="192">
        <v>8.443754875133358E-2</v>
      </c>
      <c r="X28" s="192">
        <f t="shared" si="0"/>
        <v>-7.6116529136941696E-2</v>
      </c>
      <c r="Y28" s="192">
        <f t="shared" si="1"/>
        <v>5.9316518913136509</v>
      </c>
      <c r="Z28" s="192">
        <f t="shared" si="2"/>
        <v>3.7323978507517319</v>
      </c>
      <c r="AA28" s="192">
        <f t="shared" si="6"/>
        <v>-16.394272043948604</v>
      </c>
      <c r="AB28" s="192">
        <f t="shared" si="7"/>
        <v>0.12002801075450505</v>
      </c>
      <c r="AC28" s="192">
        <f t="shared" si="3"/>
        <v>5.8698887032790793E-6</v>
      </c>
      <c r="AD28" s="192">
        <f t="shared" si="4"/>
        <v>0.9014535625744291</v>
      </c>
    </row>
    <row r="29" spans="2:30" x14ac:dyDescent="0.2">
      <c r="B29" s="45">
        <v>2000</v>
      </c>
      <c r="C29" s="198">
        <v>1.8165446432655423</v>
      </c>
      <c r="D29" s="58">
        <v>3.0282835860334782</v>
      </c>
      <c r="E29" s="60">
        <v>0.41486000000000001</v>
      </c>
      <c r="F29" s="60">
        <v>0.73224999999999996</v>
      </c>
      <c r="G29" s="60">
        <v>11172.74360265728</v>
      </c>
      <c r="H29" s="60">
        <v>0.47320652437832872</v>
      </c>
      <c r="I29" s="60">
        <v>0.30725640246765579</v>
      </c>
      <c r="J29" s="60">
        <v>0.12969037162530236</v>
      </c>
      <c r="K29" s="60">
        <v>-0.87030962837469761</v>
      </c>
      <c r="L29" s="60">
        <v>-2.5831182598760362E-3</v>
      </c>
      <c r="M29" s="60">
        <v>-2.0847265327061014E-2</v>
      </c>
      <c r="N29" s="60">
        <v>0.89898</v>
      </c>
      <c r="O29" s="60"/>
      <c r="P29" s="60"/>
      <c r="Q29" s="60">
        <v>1.540492128E-3</v>
      </c>
      <c r="R29" s="60">
        <v>8.6499855600000002E-3</v>
      </c>
      <c r="S29" s="60">
        <v>5.8272031597649443</v>
      </c>
      <c r="T29" s="60">
        <v>1.7113118825496536E-2</v>
      </c>
      <c r="V29" s="192">
        <f t="shared" si="5"/>
        <v>0.55049569175593338</v>
      </c>
      <c r="W29" s="192">
        <v>8.904445174049426E-2</v>
      </c>
      <c r="X29" s="192">
        <f t="shared" si="0"/>
        <v>-8.0122662249412294E-2</v>
      </c>
      <c r="Y29" s="192">
        <f t="shared" si="1"/>
        <v>5.9316518913136509</v>
      </c>
      <c r="Z29" s="192">
        <f t="shared" si="2"/>
        <v>3.7323978507517319</v>
      </c>
      <c r="AA29" s="192">
        <f t="shared" si="6"/>
        <v>-16.394272043948604</v>
      </c>
      <c r="AB29" s="192">
        <f t="shared" si="7"/>
        <v>0.12913137762123969</v>
      </c>
      <c r="AC29" s="192">
        <f t="shared" si="3"/>
        <v>8.3306327700182099E-6</v>
      </c>
      <c r="AD29" s="192">
        <f t="shared" si="4"/>
        <v>0.89980521731906349</v>
      </c>
    </row>
    <row r="30" spans="2:30" x14ac:dyDescent="0.2">
      <c r="B30" s="45">
        <v>2100</v>
      </c>
      <c r="C30" s="198">
        <v>1.8165446432655423</v>
      </c>
      <c r="D30" s="58">
        <v>3.1796977653351521</v>
      </c>
      <c r="E30" s="60">
        <v>0.41486000000000001</v>
      </c>
      <c r="F30" s="60">
        <v>0.73224999999999996</v>
      </c>
      <c r="G30" s="60">
        <v>11172.74360265728</v>
      </c>
      <c r="H30" s="60">
        <v>0.47320652437832872</v>
      </c>
      <c r="I30" s="60">
        <v>0.32261922259103853</v>
      </c>
      <c r="J30" s="60">
        <v>0.13617489020656748</v>
      </c>
      <c r="K30" s="60">
        <v>-0.86382510979343252</v>
      </c>
      <c r="L30" s="60">
        <v>-5.3613599904085464E-3</v>
      </c>
      <c r="M30" s="60">
        <v>-2.2863863699634394E-2</v>
      </c>
      <c r="N30" s="60">
        <v>0.89814000000000005</v>
      </c>
      <c r="O30" s="60"/>
      <c r="P30" s="60"/>
      <c r="Q30" s="60">
        <v>1.4657644800000001E-3</v>
      </c>
      <c r="R30" s="60">
        <v>8.230383885714284E-3</v>
      </c>
      <c r="S30" s="60">
        <v>6.1242858033199319</v>
      </c>
      <c r="T30" s="60">
        <v>1.7375629289568262E-2</v>
      </c>
      <c r="V30" s="192">
        <f t="shared" si="5"/>
        <v>0.55049569175593338</v>
      </c>
      <c r="W30" s="192">
        <v>9.3623570154125063E-2</v>
      </c>
      <c r="X30" s="192">
        <f t="shared" si="0"/>
        <v>-8.4128795361882919E-2</v>
      </c>
      <c r="Y30" s="192">
        <f t="shared" si="1"/>
        <v>5.9316518913136509</v>
      </c>
      <c r="Z30" s="192">
        <f t="shared" si="2"/>
        <v>3.7323978507517319</v>
      </c>
      <c r="AA30" s="192">
        <f t="shared" si="6"/>
        <v>-16.394272043948604</v>
      </c>
      <c r="AB30" s="192">
        <f t="shared" si="7"/>
        <v>0.13850671114475685</v>
      </c>
      <c r="AC30" s="192">
        <f t="shared" si="3"/>
        <v>1.0710897911181752E-5</v>
      </c>
      <c r="AD30" s="192">
        <f t="shared" si="4"/>
        <v>0.89858563632414734</v>
      </c>
    </row>
    <row r="31" spans="2:30" x14ac:dyDescent="0.2">
      <c r="B31" s="45">
        <v>2200</v>
      </c>
      <c r="C31" s="198">
        <v>1.8165446432655423</v>
      </c>
      <c r="D31" s="58">
        <v>3.331111944636826</v>
      </c>
      <c r="E31" s="60">
        <v>0.41486000000000001</v>
      </c>
      <c r="F31" s="60">
        <v>0.73224999999999996</v>
      </c>
      <c r="G31" s="60">
        <v>11172.74360265728</v>
      </c>
      <c r="H31" s="60">
        <v>0.47320652437832872</v>
      </c>
      <c r="I31" s="60">
        <v>0.33798204271442134</v>
      </c>
      <c r="J31" s="60">
        <v>0.14265940878783259</v>
      </c>
      <c r="K31" s="60">
        <v>-0.85734059121216744</v>
      </c>
      <c r="L31" s="60">
        <v>-8.3918956083256294E-3</v>
      </c>
      <c r="M31" s="60">
        <v>-2.4961249002433263E-2</v>
      </c>
      <c r="N31" s="60">
        <v>0.89766999999999997</v>
      </c>
      <c r="O31" s="60"/>
      <c r="P31" s="60"/>
      <c r="Q31" s="60">
        <v>1.3984066472727272E-3</v>
      </c>
      <c r="R31" s="60">
        <v>7.8521643090909091E-3</v>
      </c>
      <c r="S31" s="60">
        <v>6.4192776924950588</v>
      </c>
      <c r="T31" s="60">
        <v>1.7644365688576063E-2</v>
      </c>
      <c r="V31" s="192">
        <f t="shared" si="5"/>
        <v>0.55049569175593338</v>
      </c>
      <c r="W31" s="192">
        <v>9.8168073546482715E-2</v>
      </c>
      <c r="X31" s="192">
        <f t="shared" si="0"/>
        <v>-8.813492847435353E-2</v>
      </c>
      <c r="Y31" s="192">
        <f t="shared" si="1"/>
        <v>5.9316518913136509</v>
      </c>
      <c r="Z31" s="192">
        <f t="shared" si="2"/>
        <v>3.7323978507517319</v>
      </c>
      <c r="AA31" s="192">
        <f t="shared" si="6"/>
        <v>-16.394272043948604</v>
      </c>
      <c r="AB31" s="192">
        <f t="shared" si="7"/>
        <v>0.14814457472638171</v>
      </c>
      <c r="AC31" s="192">
        <f t="shared" si="3"/>
        <v>1.2985004632377894E-5</v>
      </c>
      <c r="AD31" s="192">
        <f t="shared" si="4"/>
        <v>0.89779625177855327</v>
      </c>
    </row>
    <row r="32" spans="2:30" x14ac:dyDescent="0.2">
      <c r="B32" s="45">
        <v>2300</v>
      </c>
      <c r="C32" s="198">
        <v>1.8165446432655423</v>
      </c>
      <c r="D32" s="58">
        <v>3.4825261239384999</v>
      </c>
      <c r="E32" s="60">
        <v>0.41486000000000001</v>
      </c>
      <c r="F32" s="60">
        <v>0.73224999999999996</v>
      </c>
      <c r="G32" s="60">
        <v>11172.74360265728</v>
      </c>
      <c r="H32" s="60">
        <v>0.47320652437832872</v>
      </c>
      <c r="I32" s="60">
        <v>0.35334486283780409</v>
      </c>
      <c r="J32" s="60">
        <v>0.14914392736909773</v>
      </c>
      <c r="K32" s="60">
        <v>-0.85085607263090224</v>
      </c>
      <c r="L32" s="60">
        <v>-1.1674725113627483E-2</v>
      </c>
      <c r="M32" s="60">
        <v>-2.7137785231056921E-2</v>
      </c>
      <c r="N32" s="60">
        <v>0.89754999999999996</v>
      </c>
      <c r="O32" s="60"/>
      <c r="P32" s="60"/>
      <c r="Q32" s="60">
        <v>1.337427547826087E-3</v>
      </c>
      <c r="R32" s="60">
        <v>7.5097618260869569E-3</v>
      </c>
      <c r="S32" s="60">
        <v>6.7119602930759434</v>
      </c>
      <c r="T32" s="60">
        <v>1.7919065672240827E-2</v>
      </c>
      <c r="V32" s="192">
        <f t="shared" si="5"/>
        <v>0.55049569175593338</v>
      </c>
      <c r="W32" s="192">
        <v>0.10267141181208027</v>
      </c>
      <c r="X32" s="192">
        <f t="shared" si="0"/>
        <v>-9.2141061586824127E-2</v>
      </c>
      <c r="Y32" s="192">
        <f t="shared" si="1"/>
        <v>5.9316518913136509</v>
      </c>
      <c r="Z32" s="192">
        <f t="shared" si="2"/>
        <v>3.7323978507517319</v>
      </c>
      <c r="AA32" s="192">
        <f t="shared" si="6"/>
        <v>-16.394272043948604</v>
      </c>
      <c r="AB32" s="192">
        <f t="shared" si="7"/>
        <v>0.15803409130630927</v>
      </c>
      <c r="AC32" s="192">
        <f t="shared" si="3"/>
        <v>1.5128701301088485E-5</v>
      </c>
      <c r="AD32" s="192">
        <f t="shared" si="4"/>
        <v>0.89743639403215891</v>
      </c>
    </row>
    <row r="33" spans="2:30" x14ac:dyDescent="0.2">
      <c r="B33" s="45">
        <v>2400</v>
      </c>
      <c r="C33" s="198">
        <v>1.8165446432655423</v>
      </c>
      <c r="D33" s="58">
        <v>3.6339403032401738</v>
      </c>
      <c r="E33" s="60">
        <v>0.41486000000000001</v>
      </c>
      <c r="F33" s="60">
        <v>0.73224999999999996</v>
      </c>
      <c r="G33" s="60">
        <v>11172.74360265728</v>
      </c>
      <c r="H33" s="60">
        <v>0.47320652437832872</v>
      </c>
      <c r="I33" s="60">
        <v>0.36870768296118689</v>
      </c>
      <c r="J33" s="60">
        <v>0.15562844595036285</v>
      </c>
      <c r="K33" s="60">
        <v>-0.84437155404963715</v>
      </c>
      <c r="L33" s="60">
        <v>-1.5209848506313843E-2</v>
      </c>
      <c r="M33" s="60">
        <v>-2.9391836381104701E-2</v>
      </c>
      <c r="N33" s="60">
        <v>0.89778000000000002</v>
      </c>
      <c r="O33" s="60"/>
      <c r="P33" s="60"/>
      <c r="Q33" s="60">
        <v>1.28202984E-3</v>
      </c>
      <c r="R33" s="60">
        <v>7.1986993000000008E-3</v>
      </c>
      <c r="S33" s="60">
        <v>7.0019903716707734</v>
      </c>
      <c r="T33" s="60">
        <v>1.8199327385647938E-2</v>
      </c>
      <c r="V33" s="192">
        <f t="shared" si="5"/>
        <v>0.55049569175593338</v>
      </c>
      <c r="W33" s="192">
        <v>0.10712739951610897</v>
      </c>
      <c r="X33" s="192">
        <f t="shared" si="0"/>
        <v>-9.6147194699294752E-2</v>
      </c>
      <c r="Y33" s="192">
        <f t="shared" si="1"/>
        <v>5.9316518913136509</v>
      </c>
      <c r="Z33" s="192">
        <f t="shared" si="2"/>
        <v>3.7323978507517319</v>
      </c>
      <c r="AA33" s="192">
        <f t="shared" si="6"/>
        <v>-16.394272043948604</v>
      </c>
      <c r="AB33" s="192">
        <f t="shared" si="7"/>
        <v>0.16816311189671745</v>
      </c>
      <c r="AC33" s="192">
        <f t="shared" si="3"/>
        <v>1.7119937414981044E-5</v>
      </c>
      <c r="AD33" s="192">
        <f t="shared" si="4"/>
        <v>0.8975033010563922</v>
      </c>
    </row>
    <row r="34" spans="2:30" x14ac:dyDescent="0.2">
      <c r="B34" s="45">
        <v>2500</v>
      </c>
      <c r="C34" s="198">
        <v>1.8165446432655423</v>
      </c>
      <c r="D34" s="58">
        <v>3.7853544825418477</v>
      </c>
      <c r="E34" s="60">
        <v>0.41486000000000001</v>
      </c>
      <c r="F34" s="60">
        <v>0.73224999999999996</v>
      </c>
      <c r="G34" s="60">
        <v>11172.74360265728</v>
      </c>
      <c r="H34" s="60">
        <v>0.47320652437832872</v>
      </c>
      <c r="I34" s="60">
        <v>0.38407050308456964</v>
      </c>
      <c r="J34" s="60">
        <v>0.16211296453162793</v>
      </c>
      <c r="K34" s="60">
        <v>-0.83788703546837207</v>
      </c>
      <c r="L34" s="60">
        <v>-1.89972657863848E-2</v>
      </c>
      <c r="M34" s="60">
        <v>-3.1721766448175905E-2</v>
      </c>
      <c r="N34" s="60">
        <v>0.89834000000000003</v>
      </c>
      <c r="O34" s="60"/>
      <c r="P34" s="60"/>
      <c r="Q34" s="60">
        <v>1.2315163392000003E-3</v>
      </c>
      <c r="R34" s="60">
        <v>6.9150619840000005E-3</v>
      </c>
      <c r="S34" s="60">
        <v>7.2891932572376401</v>
      </c>
      <c r="T34" s="60">
        <v>1.8484885927308119E-2</v>
      </c>
      <c r="V34" s="192">
        <f t="shared" si="5"/>
        <v>0.55049569175593338</v>
      </c>
      <c r="W34" s="192">
        <v>0.11153028939893729</v>
      </c>
      <c r="X34" s="192">
        <f t="shared" si="0"/>
        <v>-0.10015332781176538</v>
      </c>
      <c r="Y34" s="192">
        <f t="shared" si="1"/>
        <v>5.9316518913136509</v>
      </c>
      <c r="Z34" s="192">
        <f t="shared" si="2"/>
        <v>3.7323978507517319</v>
      </c>
      <c r="AA34" s="192">
        <f t="shared" si="6"/>
        <v>-16.394272043948604</v>
      </c>
      <c r="AB34" s="192">
        <f t="shared" si="7"/>
        <v>0.17851841063888621</v>
      </c>
      <c r="AC34" s="192">
        <f t="shared" si="3"/>
        <v>1.8939529313685699E-5</v>
      </c>
      <c r="AD34" s="192">
        <f t="shared" si="4"/>
        <v>0.89799218088211719</v>
      </c>
    </row>
    <row r="35" spans="2:30" x14ac:dyDescent="0.2">
      <c r="B35" s="45">
        <v>2600</v>
      </c>
      <c r="C35" s="198">
        <v>1.8165446432655423</v>
      </c>
      <c r="D35" s="58">
        <v>3.9367686618435216</v>
      </c>
      <c r="E35" s="60">
        <v>0.41486000000000001</v>
      </c>
      <c r="F35" s="60">
        <v>0.73224999999999996</v>
      </c>
      <c r="G35" s="60">
        <v>11172.74360265728</v>
      </c>
      <c r="H35" s="60">
        <v>0.47320652437832872</v>
      </c>
      <c r="I35" s="60">
        <v>0.39943332320795244</v>
      </c>
      <c r="J35" s="60">
        <v>0.16859748311289305</v>
      </c>
      <c r="K35" s="60">
        <v>-0.83140251688710698</v>
      </c>
      <c r="L35" s="60">
        <v>-2.3036976953840427E-2</v>
      </c>
      <c r="M35" s="60">
        <v>-3.4125939427869852E-2</v>
      </c>
      <c r="N35" s="60">
        <v>0.89922000000000002</v>
      </c>
      <c r="O35" s="60"/>
      <c r="P35" s="60"/>
      <c r="Q35" s="60">
        <v>1.1853103015384617E-3</v>
      </c>
      <c r="R35" s="60">
        <v>6.6556114153846152E-3</v>
      </c>
      <c r="S35" s="60">
        <v>7.5733422583295935</v>
      </c>
      <c r="T35" s="60">
        <v>1.8775406661792424E-2</v>
      </c>
      <c r="V35" s="192">
        <f t="shared" si="5"/>
        <v>0.55049569175593338</v>
      </c>
      <c r="W35" s="192">
        <v>0.11587483269279243</v>
      </c>
      <c r="X35" s="192">
        <f t="shared" si="0"/>
        <v>-0.104159460924236</v>
      </c>
      <c r="Y35" s="192">
        <f t="shared" si="1"/>
        <v>5.9316518913136509</v>
      </c>
      <c r="Z35" s="192">
        <f t="shared" si="2"/>
        <v>3.7323978507517319</v>
      </c>
      <c r="AA35" s="192">
        <f t="shared" si="6"/>
        <v>-16.394272043948604</v>
      </c>
      <c r="AB35" s="192">
        <f t="shared" si="7"/>
        <v>0.18908589805912362</v>
      </c>
      <c r="AC35" s="192">
        <f t="shared" si="3"/>
        <v>2.0571678360059575E-5</v>
      </c>
      <c r="AD35" s="192">
        <f t="shared" si="4"/>
        <v>0.89889632203727754</v>
      </c>
    </row>
    <row r="36" spans="2:30" x14ac:dyDescent="0.2">
      <c r="B36" s="45">
        <v>2700</v>
      </c>
      <c r="C36" s="198">
        <v>1.8165446432655423</v>
      </c>
      <c r="D36" s="58">
        <v>4.0881828411451959</v>
      </c>
      <c r="E36" s="60">
        <v>0.41486000000000001</v>
      </c>
      <c r="F36" s="60">
        <v>0.73224999999999996</v>
      </c>
      <c r="G36" s="60">
        <v>11172.74360265728</v>
      </c>
      <c r="H36" s="60">
        <v>0.47320652437832872</v>
      </c>
      <c r="I36" s="60">
        <v>0.4147961433313353</v>
      </c>
      <c r="J36" s="60">
        <v>0.17508200169415819</v>
      </c>
      <c r="K36" s="60">
        <v>-0.82491799830584178</v>
      </c>
      <c r="L36" s="60">
        <v>-2.7328982008680714E-2</v>
      </c>
      <c r="M36" s="60">
        <v>-3.6602719315785862E-2</v>
      </c>
      <c r="N36" s="60">
        <v>0.90042</v>
      </c>
      <c r="O36" s="60"/>
      <c r="P36" s="60"/>
      <c r="Q36" s="60">
        <v>1.14293312E-3</v>
      </c>
      <c r="R36" s="60">
        <v>6.4176601777777781E-3</v>
      </c>
      <c r="S36" s="60">
        <v>7.8541433779385308</v>
      </c>
      <c r="T36" s="60">
        <v>1.9070460177113977E-2</v>
      </c>
      <c r="V36" s="192">
        <f t="shared" si="5"/>
        <v>0.55049569175593338</v>
      </c>
      <c r="W36" s="192">
        <v>0.12015632471635213</v>
      </c>
      <c r="X36" s="192">
        <f t="shared" si="0"/>
        <v>-0.10816559403670661</v>
      </c>
      <c r="Y36" s="192">
        <f t="shared" si="1"/>
        <v>5.9316518913136509</v>
      </c>
      <c r="Z36" s="192">
        <f t="shared" si="2"/>
        <v>3.7323978507517319</v>
      </c>
      <c r="AA36" s="192">
        <f t="shared" si="6"/>
        <v>-16.394272043948604</v>
      </c>
      <c r="AB36" s="192">
        <f t="shared" si="7"/>
        <v>0.19985084367231826</v>
      </c>
      <c r="AC36" s="192">
        <f t="shared" si="3"/>
        <v>2.200431553065537E-5</v>
      </c>
      <c r="AD36" s="192">
        <f t="shared" si="4"/>
        <v>0.90020724495400872</v>
      </c>
    </row>
    <row r="37" spans="2:30" x14ac:dyDescent="0.2">
      <c r="B37" s="45">
        <v>2800</v>
      </c>
      <c r="C37" s="198">
        <v>1.8165446432655423</v>
      </c>
      <c r="D37" s="58">
        <v>4.2395970204468698</v>
      </c>
      <c r="E37" s="60">
        <v>0.41486000000000001</v>
      </c>
      <c r="F37" s="60">
        <v>0.73224999999999996</v>
      </c>
      <c r="G37" s="60">
        <v>11172.74360265728</v>
      </c>
      <c r="H37" s="60">
        <v>0.47320652437832872</v>
      </c>
      <c r="I37" s="60">
        <v>0.43015896345471805</v>
      </c>
      <c r="J37" s="60">
        <v>0.1815665202754233</v>
      </c>
      <c r="K37" s="60">
        <v>-0.8184334797245767</v>
      </c>
      <c r="L37" s="60">
        <v>-3.1873280950905664E-2</v>
      </c>
      <c r="M37" s="60">
        <v>-3.9150470107523233E-2</v>
      </c>
      <c r="N37" s="60">
        <v>0.90190000000000003</v>
      </c>
      <c r="O37" s="60"/>
      <c r="P37" s="60"/>
      <c r="Q37" s="60">
        <v>1.1039255999999999E-3</v>
      </c>
      <c r="R37" s="60">
        <v>6.1986298571428582E-3</v>
      </c>
      <c r="S37" s="60">
        <v>8.1316717321118581</v>
      </c>
      <c r="T37" s="60">
        <v>1.9369988605982196E-2</v>
      </c>
      <c r="V37" s="192">
        <f t="shared" si="5"/>
        <v>0.55049569175593338</v>
      </c>
      <c r="W37" s="192">
        <v>0.12437063509295325</v>
      </c>
      <c r="X37" s="192">
        <f t="shared" si="0"/>
        <v>-0.11217172714917724</v>
      </c>
      <c r="Y37" s="192">
        <f t="shared" si="1"/>
        <v>5.9316518913136509</v>
      </c>
      <c r="Z37" s="192">
        <f t="shared" si="2"/>
        <v>3.7323978507517319</v>
      </c>
      <c r="AA37" s="192">
        <f t="shared" si="6"/>
        <v>-16.394272043948604</v>
      </c>
      <c r="AB37" s="192">
        <f t="shared" si="7"/>
        <v>0.21079809922726267</v>
      </c>
      <c r="AC37" s="192">
        <f t="shared" si="3"/>
        <v>2.32292621993287E-5</v>
      </c>
      <c r="AD37" s="192">
        <f t="shared" si="4"/>
        <v>0.90191488581964163</v>
      </c>
    </row>
    <row r="38" spans="2:30" x14ac:dyDescent="0.2">
      <c r="B38" s="45">
        <v>2900</v>
      </c>
      <c r="C38" s="198">
        <v>1.8165446432655423</v>
      </c>
      <c r="D38" s="58">
        <v>4.3910111997485437</v>
      </c>
      <c r="E38" s="60">
        <v>0.41486000000000001</v>
      </c>
      <c r="F38" s="60">
        <v>0.73224999999999996</v>
      </c>
      <c r="G38" s="60">
        <v>11172.74360265728</v>
      </c>
      <c r="H38" s="60">
        <v>0.47320652437832872</v>
      </c>
      <c r="I38" s="60">
        <v>0.44552178357810085</v>
      </c>
      <c r="J38" s="60">
        <v>0.18805103885668842</v>
      </c>
      <c r="K38" s="60">
        <v>-0.81194896114331161</v>
      </c>
      <c r="L38" s="60">
        <v>-3.6669873780515207E-2</v>
      </c>
      <c r="M38" s="60">
        <v>-4.1767555798681293E-2</v>
      </c>
      <c r="N38" s="60">
        <v>0.90366999999999997</v>
      </c>
      <c r="O38" s="60"/>
      <c r="P38" s="60"/>
      <c r="Q38" s="60">
        <v>1.0679509737931035E-3</v>
      </c>
      <c r="R38" s="60">
        <v>5.9966294758620692E-3</v>
      </c>
      <c r="S38" s="60">
        <v>8.4055924065421657</v>
      </c>
      <c r="T38" s="60">
        <v>1.9673482917231696E-2</v>
      </c>
      <c r="V38" s="192">
        <f t="shared" si="5"/>
        <v>0.55049569175593338</v>
      </c>
      <c r="W38" s="192">
        <v>0.12851422278486871</v>
      </c>
      <c r="X38" s="192">
        <f t="shared" si="0"/>
        <v>-0.11617786026164784</v>
      </c>
      <c r="Y38" s="192">
        <f t="shared" si="1"/>
        <v>5.9316518913136509</v>
      </c>
      <c r="Z38" s="192">
        <f t="shared" si="2"/>
        <v>3.7323978507517319</v>
      </c>
      <c r="AA38" s="192">
        <f t="shared" si="6"/>
        <v>-16.394272043948604</v>
      </c>
      <c r="AB38" s="192">
        <f t="shared" si="7"/>
        <v>0.22191231462980193</v>
      </c>
      <c r="AC38" s="192">
        <f t="shared" si="3"/>
        <v>2.4242212474604591E-5</v>
      </c>
      <c r="AD38" s="192">
        <f t="shared" si="4"/>
        <v>0.90400780352637078</v>
      </c>
    </row>
    <row r="39" spans="2:30" x14ac:dyDescent="0.2">
      <c r="B39" s="45">
        <v>3000</v>
      </c>
      <c r="C39" s="198">
        <v>1.8165446432655423</v>
      </c>
      <c r="D39" s="58">
        <v>4.5424253790502176</v>
      </c>
      <c r="E39" s="60">
        <v>0.41486000000000001</v>
      </c>
      <c r="F39" s="60">
        <v>0.73224999999999996</v>
      </c>
      <c r="G39" s="60">
        <v>11172.74360265728</v>
      </c>
      <c r="H39" s="60">
        <v>0.47320652437832872</v>
      </c>
      <c r="I39" s="60">
        <v>0.4608846037014836</v>
      </c>
      <c r="J39" s="60">
        <v>0.19453555743795356</v>
      </c>
      <c r="K39" s="60">
        <v>-0.80546444256204641</v>
      </c>
      <c r="L39" s="60">
        <v>-4.1718760497509499E-2</v>
      </c>
      <c r="M39" s="60">
        <v>-4.4452340384859346E-2</v>
      </c>
      <c r="N39" s="60">
        <v>0.90571999999999997</v>
      </c>
      <c r="O39" s="60"/>
      <c r="P39" s="60"/>
      <c r="Q39" s="60">
        <v>1.0346945280000001E-3</v>
      </c>
      <c r="R39" s="60">
        <v>5.8098918933333328E-3</v>
      </c>
      <c r="S39" s="60">
        <v>8.6757592245376447</v>
      </c>
      <c r="T39" s="60">
        <v>1.9980612397682236E-2</v>
      </c>
      <c r="V39" s="192">
        <f t="shared" ref="V39:V74" si="8">1/C39</f>
        <v>0.55049569175593338</v>
      </c>
      <c r="W39" s="192">
        <v>0.13258413687729617</v>
      </c>
      <c r="X39" s="192">
        <f t="shared" ref="X39:X74" si="9">+-0.06125*D39*V39*EXP(-1.2*(1-V39)^2)</f>
        <v>-0.12018399337411845</v>
      </c>
      <c r="Y39" s="192">
        <f t="shared" ref="Y39:Y74" si="10">+(14.76*V39)-(9.76*V39^2)+(4.58*V39^3)</f>
        <v>5.9316518913136509</v>
      </c>
      <c r="Z39" s="192">
        <f t="shared" ref="Z39:Z74" si="11">2.18+2.82*V39</f>
        <v>3.7323978507517319</v>
      </c>
      <c r="AA39" s="192">
        <f t="shared" ref="AA39:AA74" si="12">+(90.7*V39)-(242.2*V39^2)+(42.4*V39^3)</f>
        <v>-16.394272043948604</v>
      </c>
      <c r="AB39" s="192">
        <f t="shared" ref="AB39:AB74" si="13">+((W39)+(W39^2)+(W39^3)-(W39^4))/((1-W39)^3)</f>
        <v>0.23317813978418656</v>
      </c>
      <c r="AC39" s="192">
        <f t="shared" ref="AC39:AC74" si="14">+X39+AB39-Y39*(W39^2)+(AA39*W39^Z39)</f>
        <v>2.504255582160865E-5</v>
      </c>
      <c r="AD39" s="192">
        <f t="shared" ref="AD39:AD74" si="15">+(0.06125*D39*V39*EXP(-1.2*(1-V39)^2)/W39)</f>
        <v>0.90647340024807199</v>
      </c>
    </row>
    <row r="40" spans="2:30" x14ac:dyDescent="0.2">
      <c r="B40" s="45">
        <v>3100</v>
      </c>
      <c r="C40" s="198">
        <v>1.8165446432655423</v>
      </c>
      <c r="D40" s="58">
        <v>4.6938395583518915</v>
      </c>
      <c r="E40" s="60">
        <v>0.41486000000000001</v>
      </c>
      <c r="F40" s="60">
        <v>0.73224999999999996</v>
      </c>
      <c r="G40" s="60">
        <v>11172.74360265728</v>
      </c>
      <c r="H40" s="60">
        <v>0.47320652437832872</v>
      </c>
      <c r="I40" s="60">
        <v>0.4762474238248664</v>
      </c>
      <c r="J40" s="60">
        <v>0.20102007601921865</v>
      </c>
      <c r="K40" s="60">
        <v>-0.79897992398078133</v>
      </c>
      <c r="L40" s="60">
        <v>-4.7019941101888223E-2</v>
      </c>
      <c r="M40" s="60">
        <v>-4.7203187861656726E-2</v>
      </c>
      <c r="N40" s="60">
        <v>0.90800999999999998</v>
      </c>
      <c r="O40" s="60"/>
      <c r="P40" s="60"/>
      <c r="Q40" s="60">
        <v>1.003848990967742E-3</v>
      </c>
      <c r="R40" s="60">
        <v>5.636691754838709E-3</v>
      </c>
      <c r="S40" s="60">
        <v>8.9423416038110908</v>
      </c>
      <c r="T40" s="60">
        <v>2.0291400717739237E-2</v>
      </c>
      <c r="V40" s="192">
        <f t="shared" si="8"/>
        <v>0.55049569175593338</v>
      </c>
      <c r="W40" s="192">
        <v>0.13657800463041014</v>
      </c>
      <c r="X40" s="192">
        <f t="shared" si="9"/>
        <v>-0.12419012648658907</v>
      </c>
      <c r="Y40" s="192">
        <f t="shared" si="10"/>
        <v>5.9316518913136509</v>
      </c>
      <c r="Z40" s="192">
        <f t="shared" si="11"/>
        <v>3.7323978507517319</v>
      </c>
      <c r="AA40" s="192">
        <f t="shared" si="12"/>
        <v>-16.394272043948604</v>
      </c>
      <c r="AB40" s="192">
        <f t="shared" si="13"/>
        <v>0.24458040709255829</v>
      </c>
      <c r="AC40" s="192">
        <f t="shared" si="14"/>
        <v>2.5633068493362623E-5</v>
      </c>
      <c r="AD40" s="192">
        <f t="shared" si="15"/>
        <v>0.90929814667198017</v>
      </c>
    </row>
    <row r="41" spans="2:30" x14ac:dyDescent="0.2">
      <c r="B41" s="45">
        <v>3200</v>
      </c>
      <c r="C41" s="198">
        <v>1.8165446432655423</v>
      </c>
      <c r="D41" s="58">
        <v>4.8452537376535654</v>
      </c>
      <c r="E41" s="60">
        <v>0.41486000000000001</v>
      </c>
      <c r="F41" s="60">
        <v>0.73224999999999996</v>
      </c>
      <c r="G41" s="60">
        <v>11172.74360265728</v>
      </c>
      <c r="H41" s="60">
        <v>0.47320652437832872</v>
      </c>
      <c r="I41" s="60">
        <v>0.49161024394824915</v>
      </c>
      <c r="J41" s="60">
        <v>0.20750459460048376</v>
      </c>
      <c r="K41" s="60">
        <v>-0.79249540539951624</v>
      </c>
      <c r="L41" s="60">
        <v>-5.2573415593651716E-2</v>
      </c>
      <c r="M41" s="60">
        <v>-5.0018462224672718E-2</v>
      </c>
      <c r="N41" s="60">
        <v>0.91056000000000004</v>
      </c>
      <c r="O41" s="60"/>
      <c r="P41" s="60"/>
      <c r="Q41" s="60">
        <v>9.752097600000001E-4</v>
      </c>
      <c r="R41" s="60">
        <v>5.4758802000000007E-3</v>
      </c>
      <c r="S41" s="60">
        <v>9.2049536049296954</v>
      </c>
      <c r="T41" s="60">
        <v>2.0605217792256929E-2</v>
      </c>
      <c r="V41" s="192">
        <f t="shared" si="8"/>
        <v>0.55049569175593338</v>
      </c>
      <c r="W41" s="192">
        <v>0.14049400872009804</v>
      </c>
      <c r="X41" s="192">
        <f t="shared" si="9"/>
        <v>-0.12819625959905967</v>
      </c>
      <c r="Y41" s="192">
        <f t="shared" si="10"/>
        <v>5.9316518913136509</v>
      </c>
      <c r="Z41" s="192">
        <f t="shared" si="11"/>
        <v>3.7323978507517319</v>
      </c>
      <c r="AA41" s="192">
        <f t="shared" si="12"/>
        <v>-16.394272043948604</v>
      </c>
      <c r="AB41" s="192">
        <f t="shared" si="13"/>
        <v>0.25610429097504106</v>
      </c>
      <c r="AC41" s="192">
        <f t="shared" si="14"/>
        <v>2.6019507941373379E-5</v>
      </c>
      <c r="AD41" s="192">
        <f t="shared" si="15"/>
        <v>0.91246780390800286</v>
      </c>
    </row>
    <row r="42" spans="2:30" x14ac:dyDescent="0.2">
      <c r="B42" s="45">
        <v>3300</v>
      </c>
      <c r="C42" s="198">
        <v>1.8165446432655423</v>
      </c>
      <c r="D42" s="58">
        <v>4.9966679169552393</v>
      </c>
      <c r="E42" s="60">
        <v>0.41486000000000001</v>
      </c>
      <c r="F42" s="60">
        <v>0.73224999999999996</v>
      </c>
      <c r="G42" s="60">
        <v>11172.74360265728</v>
      </c>
      <c r="H42" s="60">
        <v>0.47320652437832872</v>
      </c>
      <c r="I42" s="60">
        <v>0.50697306407163201</v>
      </c>
      <c r="J42" s="60">
        <v>0.21398911318174887</v>
      </c>
      <c r="K42" s="60">
        <v>-0.78601088681825115</v>
      </c>
      <c r="L42" s="60">
        <v>-5.8379183972799738E-2</v>
      </c>
      <c r="M42" s="60">
        <v>-5.2896527469506682E-2</v>
      </c>
      <c r="N42" s="60">
        <v>0.91334000000000004</v>
      </c>
      <c r="O42" s="60"/>
      <c r="P42" s="60"/>
      <c r="Q42" s="60">
        <v>9.4854510545454545E-4</v>
      </c>
      <c r="R42" s="60">
        <v>5.3261560484848492E-3</v>
      </c>
      <c r="S42" s="60">
        <v>9.4637150560941787</v>
      </c>
      <c r="T42" s="60">
        <v>2.0922012785925887E-2</v>
      </c>
      <c r="V42" s="192">
        <f t="shared" si="8"/>
        <v>0.55049569175593338</v>
      </c>
      <c r="W42" s="192">
        <v>0.14433085580542446</v>
      </c>
      <c r="X42" s="192">
        <f t="shared" si="9"/>
        <v>-0.13220239271153028</v>
      </c>
      <c r="Y42" s="192">
        <f t="shared" si="10"/>
        <v>5.9316518913136509</v>
      </c>
      <c r="Z42" s="192">
        <f t="shared" si="11"/>
        <v>3.7323978507517319</v>
      </c>
      <c r="AA42" s="192">
        <f t="shared" si="12"/>
        <v>-16.394272043948604</v>
      </c>
      <c r="AB42" s="192">
        <f t="shared" si="13"/>
        <v>0.2677354423637906</v>
      </c>
      <c r="AC42" s="192">
        <f>+X42+AB42-Y42*(W42^2)+(AA42*W42^Z42)</f>
        <v>2.6210145889276823E-5</v>
      </c>
      <c r="AD42" s="192">
        <f t="shared" si="15"/>
        <v>0.91596763542894233</v>
      </c>
    </row>
    <row r="43" spans="2:30" x14ac:dyDescent="0.2">
      <c r="B43" s="45">
        <v>3400</v>
      </c>
      <c r="C43" s="198">
        <v>1.8165446432655423</v>
      </c>
      <c r="D43" s="58">
        <v>5.1480820962569132</v>
      </c>
      <c r="E43" s="60">
        <v>0.41486000000000001</v>
      </c>
      <c r="F43" s="60">
        <v>0.73224999999999996</v>
      </c>
      <c r="G43" s="60">
        <v>11172.74360265728</v>
      </c>
      <c r="H43" s="60">
        <v>0.47320652437832872</v>
      </c>
      <c r="I43" s="60">
        <v>0.52233588419501475</v>
      </c>
      <c r="J43" s="60">
        <v>0.22047363176301402</v>
      </c>
      <c r="K43" s="60">
        <v>-0.77952636823698596</v>
      </c>
      <c r="L43" s="60">
        <v>-6.4437246239332585E-2</v>
      </c>
      <c r="M43" s="60">
        <v>-5.5835747591757884E-2</v>
      </c>
      <c r="N43" s="60">
        <v>0.91634000000000004</v>
      </c>
      <c r="O43" s="60"/>
      <c r="P43" s="60"/>
      <c r="Q43" s="60">
        <v>9.2367072000000008E-4</v>
      </c>
      <c r="R43" s="60">
        <v>5.1864844E-3</v>
      </c>
      <c r="S43" s="60">
        <v>9.7185722157292407</v>
      </c>
      <c r="T43" s="60">
        <v>2.1241526086870448E-2</v>
      </c>
      <c r="V43" s="192">
        <f t="shared" si="8"/>
        <v>0.55049569175593338</v>
      </c>
      <c r="W43" s="192">
        <v>0.14808773861041644</v>
      </c>
      <c r="X43" s="192">
        <f t="shared" si="9"/>
        <v>-0.13620852582400089</v>
      </c>
      <c r="Y43" s="192">
        <f t="shared" si="10"/>
        <v>5.9316518913136509</v>
      </c>
      <c r="Z43" s="192">
        <f t="shared" si="11"/>
        <v>3.7323978507517319</v>
      </c>
      <c r="AA43" s="192">
        <f t="shared" si="12"/>
        <v>-16.394272043948604</v>
      </c>
      <c r="AB43" s="192">
        <f t="shared" si="13"/>
        <v>0.27946009756299173</v>
      </c>
      <c r="AC43" s="192">
        <f t="shared" si="14"/>
        <v>2.6215273842613088E-5</v>
      </c>
      <c r="AD43" s="192">
        <f t="shared" si="15"/>
        <v>0.91978260389493205</v>
      </c>
    </row>
    <row r="44" spans="2:30" x14ac:dyDescent="0.2">
      <c r="B44" s="45">
        <v>3500</v>
      </c>
      <c r="C44" s="198">
        <v>1.8165446432655423</v>
      </c>
      <c r="D44" s="58">
        <v>5.299496275558587</v>
      </c>
      <c r="E44" s="60">
        <v>0.41486000000000001</v>
      </c>
      <c r="F44" s="60">
        <v>0.73224999999999996</v>
      </c>
      <c r="G44" s="60">
        <v>11172.74360265728</v>
      </c>
      <c r="H44" s="60">
        <v>0.47320652437832872</v>
      </c>
      <c r="I44" s="60">
        <v>0.53769870431839761</v>
      </c>
      <c r="J44" s="60">
        <v>0.22695815034427913</v>
      </c>
      <c r="K44" s="60">
        <v>-0.77304184965572087</v>
      </c>
      <c r="L44" s="60">
        <v>-7.0747602393249884E-2</v>
      </c>
      <c r="M44" s="60">
        <v>-5.8834486587025683E-2</v>
      </c>
      <c r="N44" s="60">
        <v>0.91956000000000004</v>
      </c>
      <c r="O44" s="60"/>
      <c r="P44" s="60"/>
      <c r="Q44" s="60">
        <v>9.0043315200000001E-4</v>
      </c>
      <c r="R44" s="60">
        <v>5.0560036114285709E-3</v>
      </c>
      <c r="S44" s="60">
        <v>9.9693803764731026</v>
      </c>
      <c r="T44" s="60">
        <v>2.1563370701233712E-2</v>
      </c>
      <c r="V44" s="192">
        <f t="shared" si="8"/>
        <v>0.55049569175593338</v>
      </c>
      <c r="W44" s="192">
        <v>0.15176429361914878</v>
      </c>
      <c r="X44" s="192">
        <f t="shared" si="9"/>
        <v>-0.14021465893647153</v>
      </c>
      <c r="Y44" s="192">
        <f t="shared" si="10"/>
        <v>5.9316518913136509</v>
      </c>
      <c r="Z44" s="192">
        <f t="shared" si="11"/>
        <v>3.7323978507517319</v>
      </c>
      <c r="AA44" s="192">
        <f t="shared" si="12"/>
        <v>-16.394272043948604</v>
      </c>
      <c r="AB44" s="192">
        <f t="shared" si="13"/>
        <v>0.2912651620729344</v>
      </c>
      <c r="AC44" s="192">
        <f t="shared" si="14"/>
        <v>2.6046710353569424E-5</v>
      </c>
      <c r="AD44" s="192">
        <f t="shared" si="15"/>
        <v>0.92389754923736567</v>
      </c>
    </row>
    <row r="45" spans="2:30" x14ac:dyDescent="0.2">
      <c r="B45" s="45">
        <v>3600</v>
      </c>
      <c r="C45" s="198">
        <v>1.8165446432655423</v>
      </c>
      <c r="D45" s="58">
        <v>5.4509104548602609</v>
      </c>
      <c r="E45" s="60">
        <v>0.41486000000000001</v>
      </c>
      <c r="F45" s="60">
        <v>0.73224999999999996</v>
      </c>
      <c r="G45" s="60">
        <v>11172.74360265728</v>
      </c>
      <c r="H45" s="60">
        <v>0.47320652437832872</v>
      </c>
      <c r="I45" s="60">
        <v>0.55306152444178036</v>
      </c>
      <c r="J45" s="60">
        <v>0.23344266892554424</v>
      </c>
      <c r="K45" s="60">
        <v>-0.76655733107445578</v>
      </c>
      <c r="L45" s="60">
        <v>-7.7310252434551918E-2</v>
      </c>
      <c r="M45" s="60">
        <v>-6.1891108450909352E-2</v>
      </c>
      <c r="N45" s="60">
        <v>0.92296999999999996</v>
      </c>
      <c r="O45" s="60"/>
      <c r="P45" s="60"/>
      <c r="Q45" s="60">
        <v>8.7866744000000005E-4</v>
      </c>
      <c r="R45" s="60">
        <v>4.9337874111111115E-3</v>
      </c>
      <c r="S45" s="60">
        <v>10.216334630397395</v>
      </c>
      <c r="T45" s="60">
        <v>2.1887590407662617E-2</v>
      </c>
      <c r="V45" s="192">
        <f t="shared" si="8"/>
        <v>0.55049569175593338</v>
      </c>
      <c r="W45" s="192">
        <v>0.15536055629242848</v>
      </c>
      <c r="X45" s="192">
        <f t="shared" si="9"/>
        <v>-0.14422079204894214</v>
      </c>
      <c r="Y45" s="192">
        <f t="shared" si="10"/>
        <v>5.9316518913136509</v>
      </c>
      <c r="Z45" s="192">
        <f t="shared" si="11"/>
        <v>3.7323978507517319</v>
      </c>
      <c r="AA45" s="192">
        <f t="shared" si="12"/>
        <v>-16.394272043948604</v>
      </c>
      <c r="AB45" s="192">
        <f t="shared" si="13"/>
        <v>0.30313827091017703</v>
      </c>
      <c r="AC45" s="192">
        <f t="shared" si="14"/>
        <v>2.5717333438347867E-5</v>
      </c>
      <c r="AD45" s="192">
        <f t="shared" si="15"/>
        <v>0.92829734580430801</v>
      </c>
    </row>
    <row r="46" spans="2:30" x14ac:dyDescent="0.2">
      <c r="B46" s="45">
        <v>3700</v>
      </c>
      <c r="C46" s="198">
        <v>1.8165446432655423</v>
      </c>
      <c r="D46" s="58">
        <v>5.6023246341619348</v>
      </c>
      <c r="E46" s="60">
        <v>0.41486000000000001</v>
      </c>
      <c r="F46" s="60">
        <v>0.73224999999999996</v>
      </c>
      <c r="G46" s="60">
        <v>11172.74360265728</v>
      </c>
      <c r="H46" s="60">
        <v>0.47320652437832872</v>
      </c>
      <c r="I46" s="60">
        <v>0.56842434456516311</v>
      </c>
      <c r="J46" s="60">
        <v>0.23992718750680939</v>
      </c>
      <c r="K46" s="60">
        <v>-0.76007281249319059</v>
      </c>
      <c r="L46" s="60">
        <v>-8.4125196363238675E-2</v>
      </c>
      <c r="M46" s="60">
        <v>-6.5003977179008215E-2</v>
      </c>
      <c r="N46" s="60">
        <v>0.92657999999999996</v>
      </c>
      <c r="O46" s="60"/>
      <c r="P46" s="60"/>
      <c r="Q46" s="60">
        <v>8.5826350702702709E-4</v>
      </c>
      <c r="R46" s="60">
        <v>4.8192177081081075E-3</v>
      </c>
      <c r="S46" s="60">
        <v>10.459212727067449</v>
      </c>
      <c r="T46" s="60">
        <v>2.2213682181823673E-2</v>
      </c>
      <c r="V46" s="192">
        <f t="shared" si="8"/>
        <v>0.55049569175593338</v>
      </c>
      <c r="W46" s="192">
        <v>0.15887691545833513</v>
      </c>
      <c r="X46" s="192">
        <f t="shared" si="9"/>
        <v>-0.14822692516141275</v>
      </c>
      <c r="Y46" s="192">
        <f t="shared" si="10"/>
        <v>5.9316518913136509</v>
      </c>
      <c r="Z46" s="192">
        <f t="shared" si="11"/>
        <v>3.7323978507517319</v>
      </c>
      <c r="AA46" s="192">
        <f t="shared" si="12"/>
        <v>-16.394272043948604</v>
      </c>
      <c r="AB46" s="192">
        <f t="shared" si="13"/>
        <v>0.31506782761200619</v>
      </c>
      <c r="AC46" s="192">
        <f t="shared" si="14"/>
        <v>2.5240655095307152E-5</v>
      </c>
      <c r="AD46" s="192">
        <f t="shared" si="15"/>
        <v>0.93296703762029365</v>
      </c>
    </row>
    <row r="47" spans="2:30" x14ac:dyDescent="0.2">
      <c r="B47" s="45">
        <v>3800</v>
      </c>
      <c r="C47" s="198">
        <v>1.8165446432655423</v>
      </c>
      <c r="D47" s="58">
        <v>5.7537388134636087</v>
      </c>
      <c r="E47" s="60">
        <v>0.41486000000000001</v>
      </c>
      <c r="F47" s="60">
        <v>0.73224999999999996</v>
      </c>
      <c r="G47" s="60">
        <v>11172.74360265728</v>
      </c>
      <c r="H47" s="60">
        <v>0.47320652437832872</v>
      </c>
      <c r="I47" s="60">
        <v>0.58378716468854586</v>
      </c>
      <c r="J47" s="60">
        <v>0.24641170608807447</v>
      </c>
      <c r="K47" s="60">
        <v>-0.7535882939119255</v>
      </c>
      <c r="L47" s="60">
        <v>-9.1192434179309889E-2</v>
      </c>
      <c r="M47" s="60">
        <v>-6.8171456766921601E-2</v>
      </c>
      <c r="N47" s="60">
        <v>0.93035999999999996</v>
      </c>
      <c r="O47" s="60"/>
      <c r="P47" s="60"/>
      <c r="Q47" s="60">
        <v>8.3908678736842107E-4</v>
      </c>
      <c r="R47" s="60">
        <v>4.7115389052631573E-3</v>
      </c>
      <c r="S47" s="60">
        <v>10.698250444424128</v>
      </c>
      <c r="T47" s="60">
        <v>2.2541748412303282E-2</v>
      </c>
      <c r="V47" s="192">
        <f t="shared" si="8"/>
        <v>0.55049569175593338</v>
      </c>
      <c r="W47" s="192">
        <v>0.16231406824060454</v>
      </c>
      <c r="X47" s="192">
        <f t="shared" si="9"/>
        <v>-0.15223305827388339</v>
      </c>
      <c r="Y47" s="192">
        <f t="shared" si="10"/>
        <v>5.9316518913136509</v>
      </c>
      <c r="Z47" s="192">
        <f t="shared" si="11"/>
        <v>3.7323978507517319</v>
      </c>
      <c r="AA47" s="192">
        <f t="shared" si="12"/>
        <v>-16.394272043948604</v>
      </c>
      <c r="AB47" s="192">
        <f t="shared" si="13"/>
        <v>0.32704302451218636</v>
      </c>
      <c r="AC47" s="192">
        <f t="shared" si="14"/>
        <v>2.4630448652116638E-5</v>
      </c>
      <c r="AD47" s="192">
        <f t="shared" si="15"/>
        <v>0.9378919518437695</v>
      </c>
    </row>
    <row r="48" spans="2:30" x14ac:dyDescent="0.2">
      <c r="B48" s="45">
        <v>3900</v>
      </c>
      <c r="C48" s="198">
        <v>1.8165446432655423</v>
      </c>
      <c r="D48" s="58">
        <v>5.9051529927652826</v>
      </c>
      <c r="E48" s="60">
        <v>0.41486000000000001</v>
      </c>
      <c r="F48" s="60">
        <v>0.73224999999999996</v>
      </c>
      <c r="G48" s="60">
        <v>11172.74360265728</v>
      </c>
      <c r="H48" s="60">
        <v>0.47320652437832872</v>
      </c>
      <c r="I48" s="60">
        <v>0.59914998481192872</v>
      </c>
      <c r="J48" s="60">
        <v>0.25289622466933959</v>
      </c>
      <c r="K48" s="60">
        <v>-0.74710377533066041</v>
      </c>
      <c r="L48" s="60">
        <v>-9.8511965882765715E-2</v>
      </c>
      <c r="M48" s="60">
        <v>-7.1391911210248848E-2</v>
      </c>
      <c r="N48" s="60">
        <v>0.93432000000000004</v>
      </c>
      <c r="O48" s="60"/>
      <c r="P48" s="60"/>
      <c r="Q48" s="60">
        <v>8.2105166769230785E-4</v>
      </c>
      <c r="R48" s="60">
        <v>4.610270276923077E-3</v>
      </c>
      <c r="S48" s="60">
        <v>10.933246894321757</v>
      </c>
      <c r="T48" s="60">
        <v>2.2871297092260521E-2</v>
      </c>
      <c r="V48" s="192">
        <f t="shared" si="8"/>
        <v>0.55049569175593338</v>
      </c>
      <c r="W48" s="192">
        <v>0.16567297659550062</v>
      </c>
      <c r="X48" s="192">
        <f t="shared" si="9"/>
        <v>-0.15623919138635398</v>
      </c>
      <c r="Y48" s="192">
        <f t="shared" si="10"/>
        <v>5.9316518913136509</v>
      </c>
      <c r="Z48" s="192">
        <f t="shared" si="11"/>
        <v>3.7323978507517319</v>
      </c>
      <c r="AA48" s="192">
        <f t="shared" si="12"/>
        <v>-16.394272043948604</v>
      </c>
      <c r="AB48" s="192">
        <f t="shared" si="13"/>
        <v>0.33905384705305908</v>
      </c>
      <c r="AC48" s="192">
        <f t="shared" si="14"/>
        <v>2.3900434203541487E-5</v>
      </c>
      <c r="AD48" s="192">
        <f t="shared" si="15"/>
        <v>0.94305779130063117</v>
      </c>
    </row>
    <row r="49" spans="2:30" x14ac:dyDescent="0.2">
      <c r="B49" s="45">
        <v>4000</v>
      </c>
      <c r="C49" s="198">
        <v>1.8165446432655423</v>
      </c>
      <c r="D49" s="58">
        <v>6.0565671720669565</v>
      </c>
      <c r="E49" s="60">
        <v>0.41486000000000001</v>
      </c>
      <c r="F49" s="60">
        <v>0.73224999999999996</v>
      </c>
      <c r="G49" s="60">
        <v>11172.74360265728</v>
      </c>
      <c r="H49" s="60">
        <v>0.47320652437832872</v>
      </c>
      <c r="I49" s="60">
        <v>0.61451280493531157</v>
      </c>
      <c r="J49" s="60">
        <v>0.25938074325060473</v>
      </c>
      <c r="K49" s="60">
        <v>-0.74061925674939522</v>
      </c>
      <c r="L49" s="60">
        <v>-0.10608379147360626</v>
      </c>
      <c r="M49" s="60">
        <v>-7.4663704504589243E-2</v>
      </c>
      <c r="N49" s="60">
        <v>0.93844000000000005</v>
      </c>
      <c r="O49" s="60"/>
      <c r="P49" s="60"/>
      <c r="Q49" s="60">
        <v>8.0405539200000009E-4</v>
      </c>
      <c r="R49" s="60">
        <v>4.5148348399999998E-3</v>
      </c>
      <c r="S49" s="60">
        <v>11.164355945112078</v>
      </c>
      <c r="T49" s="60">
        <v>2.3202321893809018E-2</v>
      </c>
      <c r="V49" s="192">
        <f t="shared" si="8"/>
        <v>0.55049569175593338</v>
      </c>
      <c r="W49" s="192">
        <v>0.16895482624950661</v>
      </c>
      <c r="X49" s="192">
        <f t="shared" si="9"/>
        <v>-0.16024532449882459</v>
      </c>
      <c r="Y49" s="192">
        <f t="shared" si="10"/>
        <v>5.9316518913136509</v>
      </c>
      <c r="Z49" s="192">
        <f t="shared" si="11"/>
        <v>3.7323978507517319</v>
      </c>
      <c r="AA49" s="192">
        <f t="shared" si="12"/>
        <v>-16.394272043948604</v>
      </c>
      <c r="AB49" s="192">
        <f t="shared" si="13"/>
        <v>0.35109106490084546</v>
      </c>
      <c r="AC49" s="192">
        <f t="shared" si="14"/>
        <v>2.3064022960032904E-5</v>
      </c>
      <c r="AD49" s="192">
        <f t="shared" si="15"/>
        <v>0.94845070754107885</v>
      </c>
    </row>
    <row r="50" spans="2:30" x14ac:dyDescent="0.2">
      <c r="B50" s="45">
        <v>4100</v>
      </c>
      <c r="C50" s="198">
        <v>1.8165446432655423</v>
      </c>
      <c r="D50" s="58">
        <v>6.2079813513686304</v>
      </c>
      <c r="E50" s="60">
        <v>0.41486000000000001</v>
      </c>
      <c r="F50" s="60">
        <v>0.73224999999999996</v>
      </c>
      <c r="G50" s="60">
        <v>11172.74360265728</v>
      </c>
      <c r="H50" s="60">
        <v>0.47320652437832872</v>
      </c>
      <c r="I50" s="60">
        <v>0.62987562505869432</v>
      </c>
      <c r="J50" s="60">
        <v>0.26586526183186981</v>
      </c>
      <c r="K50" s="60">
        <v>-0.73413473816813024</v>
      </c>
      <c r="L50" s="60">
        <v>-0.11390791095183136</v>
      </c>
      <c r="M50" s="60">
        <v>-7.7985200645542069E-2</v>
      </c>
      <c r="N50" s="60">
        <v>0.94272</v>
      </c>
      <c r="O50" s="60"/>
      <c r="P50" s="60"/>
      <c r="Q50" s="60">
        <v>7.8802194731707317E-4</v>
      </c>
      <c r="R50" s="60">
        <v>4.4248057756097556E-3</v>
      </c>
      <c r="S50" s="60">
        <v>11.391510891844083</v>
      </c>
      <c r="T50" s="60">
        <v>2.3534505327454193E-2</v>
      </c>
      <c r="V50" s="192">
        <f t="shared" si="8"/>
        <v>0.55049569175593338</v>
      </c>
      <c r="W50" s="192">
        <v>0.17216098858018247</v>
      </c>
      <c r="X50" s="192">
        <f t="shared" si="9"/>
        <v>-0.16425145761129523</v>
      </c>
      <c r="Y50" s="192">
        <f t="shared" si="10"/>
        <v>5.9316518913136509</v>
      </c>
      <c r="Z50" s="192">
        <f t="shared" si="11"/>
        <v>3.7323978507517319</v>
      </c>
      <c r="AA50" s="192">
        <f t="shared" si="12"/>
        <v>-16.394272043948604</v>
      </c>
      <c r="AB50" s="192">
        <f t="shared" si="13"/>
        <v>0.36314621250227225</v>
      </c>
      <c r="AC50" s="192">
        <f t="shared" si="14"/>
        <v>2.2134117997840708E-5</v>
      </c>
      <c r="AD50" s="192">
        <f t="shared" si="15"/>
        <v>0.95405735623315469</v>
      </c>
    </row>
    <row r="51" spans="2:30" x14ac:dyDescent="0.2">
      <c r="B51" s="45">
        <v>4200</v>
      </c>
      <c r="C51" s="198">
        <v>1.8165446432655423</v>
      </c>
      <c r="D51" s="58">
        <v>6.3593955306703043</v>
      </c>
      <c r="E51" s="60">
        <v>0.41486000000000001</v>
      </c>
      <c r="F51" s="60">
        <v>0.73224999999999996</v>
      </c>
      <c r="G51" s="60">
        <v>11172.74360265728</v>
      </c>
      <c r="H51" s="60">
        <v>0.47320652437832872</v>
      </c>
      <c r="I51" s="60">
        <v>0.64523844518207707</v>
      </c>
      <c r="J51" s="60">
        <v>0.27234978041313496</v>
      </c>
      <c r="K51" s="60">
        <v>-0.72765021958686504</v>
      </c>
      <c r="L51" s="60">
        <v>-0.12198432431744134</v>
      </c>
      <c r="M51" s="60">
        <v>-8.1354763628706667E-2</v>
      </c>
      <c r="N51" s="60">
        <v>0.94713000000000003</v>
      </c>
      <c r="O51" s="60"/>
      <c r="P51" s="60"/>
      <c r="Q51" s="60">
        <v>7.7285808000000019E-4</v>
      </c>
      <c r="R51" s="60">
        <v>4.3396594571428575E-3</v>
      </c>
      <c r="S51" s="60">
        <v>11.615018110277921</v>
      </c>
      <c r="T51" s="60">
        <v>2.3868080583067362E-2</v>
      </c>
      <c r="V51" s="192">
        <f t="shared" si="8"/>
        <v>0.55049569175593338</v>
      </c>
      <c r="W51" s="192">
        <v>0.17529298576820024</v>
      </c>
      <c r="X51" s="192">
        <f t="shared" si="9"/>
        <v>-0.16825759072376584</v>
      </c>
      <c r="Y51" s="192">
        <f t="shared" si="10"/>
        <v>5.9316518913136509</v>
      </c>
      <c r="Z51" s="192">
        <f t="shared" si="11"/>
        <v>3.7323978507517319</v>
      </c>
      <c r="AA51" s="192">
        <f t="shared" si="12"/>
        <v>-16.394272043948604</v>
      </c>
      <c r="AB51" s="192">
        <f t="shared" si="13"/>
        <v>0.37521156150370644</v>
      </c>
      <c r="AC51" s="192">
        <f t="shared" si="14"/>
        <v>2.1122966642226487E-5</v>
      </c>
      <c r="AD51" s="192">
        <f t="shared" si="15"/>
        <v>0.9598649369020521</v>
      </c>
    </row>
    <row r="52" spans="2:30" x14ac:dyDescent="0.2">
      <c r="B52" s="45">
        <v>4300</v>
      </c>
      <c r="C52" s="198">
        <v>1.8165446432655423</v>
      </c>
      <c r="D52" s="58">
        <v>6.5108097099719782</v>
      </c>
      <c r="E52" s="60">
        <v>0.41486000000000001</v>
      </c>
      <c r="F52" s="60">
        <v>0.73224999999999996</v>
      </c>
      <c r="G52" s="60">
        <v>11172.74360265728</v>
      </c>
      <c r="H52" s="60">
        <v>0.47320652437832872</v>
      </c>
      <c r="I52" s="60">
        <v>0.66060126530545982</v>
      </c>
      <c r="J52" s="60">
        <v>0.2788342989944001</v>
      </c>
      <c r="K52" s="60">
        <v>-0.72116570100559985</v>
      </c>
      <c r="L52" s="60">
        <v>-0.13031303157043592</v>
      </c>
      <c r="M52" s="60">
        <v>-8.4770757449682363E-2</v>
      </c>
      <c r="N52" s="60">
        <v>0.95169000000000004</v>
      </c>
      <c r="O52" s="60"/>
      <c r="P52" s="60"/>
      <c r="Q52" s="60">
        <v>7.5851906232558147E-4</v>
      </c>
      <c r="R52" s="60">
        <v>4.2591447348837201E-3</v>
      </c>
      <c r="S52" s="60">
        <v>11.834588004093563</v>
      </c>
      <c r="T52" s="60">
        <v>2.4202397647807981E-2</v>
      </c>
      <c r="V52" s="192">
        <f t="shared" si="8"/>
        <v>0.55049569175593338</v>
      </c>
      <c r="W52" s="192">
        <v>0.1783524593724678</v>
      </c>
      <c r="X52" s="192">
        <f t="shared" si="9"/>
        <v>-0.17226372383623645</v>
      </c>
      <c r="Y52" s="192">
        <f t="shared" si="10"/>
        <v>5.9316518913136509</v>
      </c>
      <c r="Z52" s="192">
        <f t="shared" si="11"/>
        <v>3.7323978507517319</v>
      </c>
      <c r="AA52" s="192">
        <f t="shared" si="12"/>
        <v>-16.394272043948604</v>
      </c>
      <c r="AB52" s="192">
        <f t="shared" si="13"/>
        <v>0.38728008718503049</v>
      </c>
      <c r="AC52" s="192">
        <f t="shared" si="14"/>
        <v>2.0042058384288353E-5</v>
      </c>
      <c r="AD52" s="192">
        <f t="shared" si="15"/>
        <v>0.96586121908464551</v>
      </c>
    </row>
    <row r="53" spans="2:30" x14ac:dyDescent="0.2">
      <c r="B53" s="45">
        <v>4400</v>
      </c>
      <c r="C53" s="198">
        <v>1.8165446432655423</v>
      </c>
      <c r="D53" s="58">
        <v>6.6622238892736521</v>
      </c>
      <c r="E53" s="60">
        <v>0.41486000000000001</v>
      </c>
      <c r="F53" s="60">
        <v>0.73224999999999996</v>
      </c>
      <c r="G53" s="60">
        <v>11172.74360265728</v>
      </c>
      <c r="H53" s="60">
        <v>0.47320652437832872</v>
      </c>
      <c r="I53" s="60">
        <v>0.67596408542884268</v>
      </c>
      <c r="J53" s="60">
        <v>0.28531881757566518</v>
      </c>
      <c r="K53" s="60">
        <v>-0.71468118242433487</v>
      </c>
      <c r="L53" s="60">
        <v>-0.13889403271081482</v>
      </c>
      <c r="M53" s="60">
        <v>-8.8231546104068498E-2</v>
      </c>
      <c r="N53" s="60">
        <v>0.95638000000000001</v>
      </c>
      <c r="O53" s="60"/>
      <c r="P53" s="60"/>
      <c r="Q53" s="60">
        <v>7.4493307636363647E-4</v>
      </c>
      <c r="R53" s="60">
        <v>4.1828583454545445E-3</v>
      </c>
      <c r="S53" s="60">
        <v>12.050425576072353</v>
      </c>
      <c r="T53" s="60">
        <v>2.4537543413159953E-2</v>
      </c>
      <c r="V53" s="192">
        <f t="shared" si="8"/>
        <v>0.55049569175593338</v>
      </c>
      <c r="W53" s="192">
        <v>0.18134114234153464</v>
      </c>
      <c r="X53" s="192">
        <f t="shared" si="9"/>
        <v>-0.17626985694870706</v>
      </c>
      <c r="Y53" s="192">
        <f t="shared" si="10"/>
        <v>5.9316518913136509</v>
      </c>
      <c r="Z53" s="192">
        <f t="shared" si="11"/>
        <v>3.7323978507517319</v>
      </c>
      <c r="AA53" s="192">
        <f t="shared" si="12"/>
        <v>-16.394272043948604</v>
      </c>
      <c r="AB53" s="192">
        <f t="shared" si="13"/>
        <v>0.39934543076846513</v>
      </c>
      <c r="AC53" s="192">
        <f t="shared" si="14"/>
        <v>1.8902061624206934E-5</v>
      </c>
      <c r="AD53" s="192">
        <f t="shared" si="15"/>
        <v>0.9720345569276474</v>
      </c>
    </row>
    <row r="54" spans="2:30" x14ac:dyDescent="0.2">
      <c r="B54" s="45">
        <v>4500</v>
      </c>
      <c r="C54" s="198">
        <v>1.8165446432655423</v>
      </c>
      <c r="D54" s="58">
        <v>6.8136380685753259</v>
      </c>
      <c r="E54" s="60">
        <v>0.41486000000000001</v>
      </c>
      <c r="F54" s="60">
        <v>0.73224999999999996</v>
      </c>
      <c r="G54" s="60">
        <v>11172.74360265728</v>
      </c>
      <c r="H54" s="60">
        <v>0.47320652437832872</v>
      </c>
      <c r="I54" s="60">
        <v>0.69132690555222542</v>
      </c>
      <c r="J54" s="60">
        <v>0.29180333615693033</v>
      </c>
      <c r="K54" s="60">
        <v>-0.70819666384306967</v>
      </c>
      <c r="L54" s="60">
        <v>-0.14772732773857866</v>
      </c>
      <c r="M54" s="60">
        <v>-9.1735493587464315E-2</v>
      </c>
      <c r="N54" s="60">
        <v>0.96118000000000003</v>
      </c>
      <c r="O54" s="60"/>
      <c r="P54" s="60"/>
      <c r="Q54" s="60">
        <v>7.3203468800000007E-4</v>
      </c>
      <c r="R54" s="60">
        <v>4.110432871111111E-3</v>
      </c>
      <c r="S54" s="60">
        <v>12.262753040296667</v>
      </c>
      <c r="T54" s="60">
        <v>2.487365344488127E-2</v>
      </c>
      <c r="V54" s="192">
        <f t="shared" si="8"/>
        <v>0.55049569175593338</v>
      </c>
      <c r="W54" s="192">
        <v>0.18426083437007185</v>
      </c>
      <c r="X54" s="192">
        <f t="shared" si="9"/>
        <v>-0.1802759900611777</v>
      </c>
      <c r="Y54" s="192">
        <f t="shared" si="10"/>
        <v>5.9316518913136509</v>
      </c>
      <c r="Z54" s="192">
        <f t="shared" si="11"/>
        <v>3.7323978507517319</v>
      </c>
      <c r="AA54" s="192">
        <f t="shared" si="12"/>
        <v>-16.394272043948604</v>
      </c>
      <c r="AB54" s="192">
        <f t="shared" si="13"/>
        <v>0.41140185916925881</v>
      </c>
      <c r="AC54" s="192">
        <f t="shared" si="14"/>
        <v>1.7712792517544235E-5</v>
      </c>
      <c r="AD54" s="192">
        <f t="shared" si="15"/>
        <v>0.978373894145671</v>
      </c>
    </row>
    <row r="55" spans="2:30" x14ac:dyDescent="0.2">
      <c r="B55" s="45">
        <v>4600</v>
      </c>
      <c r="C55" s="198">
        <v>1.8165446432655423</v>
      </c>
      <c r="D55" s="58">
        <v>6.9650522478769998</v>
      </c>
      <c r="E55" s="60">
        <v>0.41486000000000001</v>
      </c>
      <c r="F55" s="60">
        <v>0.73224999999999996</v>
      </c>
      <c r="G55" s="60">
        <v>11172.74360265728</v>
      </c>
      <c r="H55" s="60">
        <v>0.47320652437832872</v>
      </c>
      <c r="I55" s="60">
        <v>0.70668972567560817</v>
      </c>
      <c r="J55" s="60">
        <v>0.29828785473819547</v>
      </c>
      <c r="K55" s="60">
        <v>-0.70171214526180448</v>
      </c>
      <c r="L55" s="60">
        <v>-0.15681291665372715</v>
      </c>
      <c r="M55" s="60">
        <v>-9.5280963895469167E-2</v>
      </c>
      <c r="N55" s="60">
        <v>0.96611000000000002</v>
      </c>
      <c r="O55" s="60"/>
      <c r="P55" s="60"/>
      <c r="Q55" s="60">
        <v>7.1979395478260881E-4</v>
      </c>
      <c r="R55" s="60">
        <v>4.0417001826086952E-3</v>
      </c>
      <c r="S55" s="60">
        <v>12.471292008260576</v>
      </c>
      <c r="T55" s="60">
        <v>2.5210071518119253E-2</v>
      </c>
      <c r="V55" s="192">
        <f t="shared" si="8"/>
        <v>0.55049569175593338</v>
      </c>
      <c r="W55" s="192">
        <v>0.1871133804347791</v>
      </c>
      <c r="X55" s="192">
        <f t="shared" si="9"/>
        <v>-0.18428212317364825</v>
      </c>
      <c r="Y55" s="192">
        <f t="shared" si="10"/>
        <v>5.9316518913136509</v>
      </c>
      <c r="Z55" s="192">
        <f t="shared" si="11"/>
        <v>3.7323978507517319</v>
      </c>
      <c r="AA55" s="192">
        <f t="shared" si="12"/>
        <v>-16.394272043948604</v>
      </c>
      <c r="AB55" s="192">
        <f t="shared" si="13"/>
        <v>0.42344422347568117</v>
      </c>
      <c r="AC55" s="192">
        <f t="shared" si="14"/>
        <v>1.6483209541395816E-5</v>
      </c>
      <c r="AD55" s="192">
        <f t="shared" si="15"/>
        <v>0.98486876109793919</v>
      </c>
    </row>
    <row r="56" spans="2:30" x14ac:dyDescent="0.2">
      <c r="B56" s="45">
        <v>4700</v>
      </c>
      <c r="C56" s="198">
        <v>1.8165446432655423</v>
      </c>
      <c r="D56" s="58">
        <v>7.1164664271786737</v>
      </c>
      <c r="E56" s="60">
        <v>0.41486000000000001</v>
      </c>
      <c r="F56" s="60">
        <v>0.73224999999999996</v>
      </c>
      <c r="G56" s="60">
        <v>11172.74360265728</v>
      </c>
      <c r="H56" s="60">
        <v>0.47320652437832872</v>
      </c>
      <c r="I56" s="60">
        <v>0.72205254579899103</v>
      </c>
      <c r="J56" s="60">
        <v>0.30477237331946055</v>
      </c>
      <c r="K56" s="60">
        <v>-0.6952276266805395</v>
      </c>
      <c r="L56" s="60">
        <v>-0.16615079945625999</v>
      </c>
      <c r="M56" s="60">
        <v>-9.886632102368241E-2</v>
      </c>
      <c r="N56" s="60">
        <v>0.97114</v>
      </c>
      <c r="O56" s="60"/>
      <c r="P56" s="60"/>
      <c r="Q56" s="60">
        <v>7.0814702297872342E-4</v>
      </c>
      <c r="R56" s="60">
        <v>3.9763017361702123E-3</v>
      </c>
      <c r="S56" s="60">
        <v>12.676408012159834</v>
      </c>
      <c r="T56" s="60">
        <v>2.5547172347161147E-2</v>
      </c>
      <c r="V56" s="192">
        <f t="shared" si="8"/>
        <v>0.55049569175593338</v>
      </c>
      <c r="W56" s="192">
        <v>0.18990065229475192</v>
      </c>
      <c r="X56" s="192">
        <f t="shared" si="9"/>
        <v>-0.18828825628611889</v>
      </c>
      <c r="Y56" s="192">
        <f t="shared" si="10"/>
        <v>5.9316518913136509</v>
      </c>
      <c r="Z56" s="192">
        <f t="shared" si="11"/>
        <v>3.7323978507517319</v>
      </c>
      <c r="AA56" s="192">
        <f t="shared" si="12"/>
        <v>-16.394272043948604</v>
      </c>
      <c r="AB56" s="192">
        <f t="shared" si="13"/>
        <v>0.43546791718975347</v>
      </c>
      <c r="AC56" s="192">
        <f t="shared" si="14"/>
        <v>1.5221427993046543E-5</v>
      </c>
      <c r="AD56" s="192">
        <f t="shared" si="15"/>
        <v>0.99150926555991836</v>
      </c>
    </row>
    <row r="57" spans="2:30" x14ac:dyDescent="0.2">
      <c r="B57" s="45">
        <v>4800</v>
      </c>
      <c r="C57" s="198">
        <v>1.8165446432655423</v>
      </c>
      <c r="D57" s="58">
        <v>7.2678806064803476</v>
      </c>
      <c r="E57" s="60">
        <v>0.41486000000000001</v>
      </c>
      <c r="F57" s="60">
        <v>0.73224999999999996</v>
      </c>
      <c r="G57" s="60">
        <v>11172.74360265728</v>
      </c>
      <c r="H57" s="60">
        <v>0.47320652437832872</v>
      </c>
      <c r="I57" s="60">
        <v>0.73741536592237378</v>
      </c>
      <c r="J57" s="60">
        <v>0.3112568919007257</v>
      </c>
      <c r="K57" s="60">
        <v>-0.6887431080992743</v>
      </c>
      <c r="L57" s="60">
        <v>-0.17574097614617776</v>
      </c>
      <c r="M57" s="60">
        <v>-0.10248992896770327</v>
      </c>
      <c r="N57" s="60">
        <v>0.97628000000000004</v>
      </c>
      <c r="O57" s="60"/>
      <c r="P57" s="60"/>
      <c r="Q57" s="60">
        <v>6.9706392000000005E-4</v>
      </c>
      <c r="R57" s="60">
        <v>3.9140692333333336E-3</v>
      </c>
      <c r="S57" s="60">
        <v>12.877959019704566</v>
      </c>
      <c r="T57" s="60">
        <v>2.5884514343404361E-2</v>
      </c>
      <c r="V57" s="192">
        <f t="shared" si="8"/>
        <v>0.55049569175593338</v>
      </c>
      <c r="W57" s="192">
        <v>0.19262453271231936</v>
      </c>
      <c r="X57" s="192">
        <f t="shared" si="9"/>
        <v>-0.1922943893985895</v>
      </c>
      <c r="Y57" s="192">
        <f t="shared" si="10"/>
        <v>5.9316518913136509</v>
      </c>
      <c r="Z57" s="192">
        <f t="shared" si="11"/>
        <v>3.7323978507517319</v>
      </c>
      <c r="AA57" s="192">
        <f t="shared" si="12"/>
        <v>-16.394272043948604</v>
      </c>
      <c r="AB57" s="192">
        <f t="shared" si="13"/>
        <v>0.4474688350328862</v>
      </c>
      <c r="AC57" s="192">
        <f t="shared" si="14"/>
        <v>1.3934749357548404E-5</v>
      </c>
      <c r="AD57" s="192">
        <f t="shared" si="15"/>
        <v>0.9982860785743064</v>
      </c>
    </row>
    <row r="58" spans="2:30" x14ac:dyDescent="0.2">
      <c r="B58" s="45">
        <v>4900</v>
      </c>
      <c r="C58" s="198">
        <v>1.8165446432655423</v>
      </c>
      <c r="D58" s="58">
        <v>7.4192947857820215</v>
      </c>
      <c r="E58" s="60">
        <v>0.41486000000000001</v>
      </c>
      <c r="F58" s="60">
        <v>0.73224999999999996</v>
      </c>
      <c r="G58" s="60">
        <v>11172.74360265728</v>
      </c>
      <c r="H58" s="60">
        <v>0.47320652437832872</v>
      </c>
      <c r="I58" s="60">
        <v>0.75277818604575664</v>
      </c>
      <c r="J58" s="60">
        <v>0.31774141048199073</v>
      </c>
      <c r="K58" s="60">
        <v>-0.68225858951800933</v>
      </c>
      <c r="L58" s="60">
        <v>-0.18558344672347959</v>
      </c>
      <c r="M58" s="60">
        <v>-0.10615015172313119</v>
      </c>
      <c r="N58" s="60">
        <v>0.98151999999999995</v>
      </c>
      <c r="O58" s="60"/>
      <c r="P58" s="60"/>
      <c r="Q58" s="60">
        <v>6.8650313142857146E-4</v>
      </c>
      <c r="R58" s="60">
        <v>3.8547695673469386E-3</v>
      </c>
      <c r="S58" s="60">
        <v>13.076066495420829</v>
      </c>
      <c r="T58" s="60">
        <v>2.6222088507636698E-2</v>
      </c>
      <c r="V58" s="192">
        <f t="shared" si="8"/>
        <v>0.55049569175593338</v>
      </c>
      <c r="W58" s="192">
        <v>0.19528690213715563</v>
      </c>
      <c r="X58" s="192">
        <f t="shared" si="9"/>
        <v>-0.19630052251106012</v>
      </c>
      <c r="Y58" s="192">
        <f t="shared" si="10"/>
        <v>5.9316518913136509</v>
      </c>
      <c r="Z58" s="192">
        <f t="shared" si="11"/>
        <v>3.7323978507517319</v>
      </c>
      <c r="AA58" s="192">
        <f t="shared" si="12"/>
        <v>-16.394272043948604</v>
      </c>
      <c r="AB58" s="192">
        <f t="shared" si="13"/>
        <v>0.45944333292404543</v>
      </c>
      <c r="AC58" s="192">
        <f t="shared" si="14"/>
        <v>1.2629701238588142E-5</v>
      </c>
      <c r="AD58" s="192">
        <f t="shared" si="15"/>
        <v>1.0051904165758776</v>
      </c>
    </row>
    <row r="59" spans="2:30" x14ac:dyDescent="0.2">
      <c r="B59" s="45">
        <v>5000</v>
      </c>
      <c r="C59" s="198">
        <v>1.8165446432655423</v>
      </c>
      <c r="D59" s="58">
        <v>7.5707089650836954</v>
      </c>
      <c r="E59" s="60">
        <v>0.41486000000000001</v>
      </c>
      <c r="F59" s="60">
        <v>0.73224999999999996</v>
      </c>
      <c r="G59" s="60">
        <v>11172.74360265728</v>
      </c>
      <c r="H59" s="60">
        <v>0.47320652437832872</v>
      </c>
      <c r="I59" s="60">
        <v>0.76814100616913927</v>
      </c>
      <c r="J59" s="60">
        <v>0.32422592906325587</v>
      </c>
      <c r="K59" s="60">
        <v>-0.67577407093674413</v>
      </c>
      <c r="L59" s="60">
        <v>-0.19567821118816675</v>
      </c>
      <c r="M59" s="60">
        <v>-0.1098453532855653</v>
      </c>
      <c r="N59" s="60">
        <v>0.98685</v>
      </c>
      <c r="O59" s="60"/>
      <c r="P59" s="60"/>
      <c r="Q59" s="60">
        <v>6.7642646400000003E-4</v>
      </c>
      <c r="R59" s="60">
        <v>3.7981882799999994E-3</v>
      </c>
      <c r="S59" s="60">
        <v>13.270859544422883</v>
      </c>
      <c r="T59" s="60">
        <v>2.6559910803918441E-2</v>
      </c>
      <c r="V59" s="192">
        <f t="shared" si="8"/>
        <v>0.55049569175593338</v>
      </c>
      <c r="W59" s="192">
        <v>0.1972397711585272</v>
      </c>
      <c r="X59" s="192">
        <f t="shared" si="9"/>
        <v>-0.20030665562353075</v>
      </c>
      <c r="Y59" s="192">
        <f t="shared" si="10"/>
        <v>5.9316518913136509</v>
      </c>
      <c r="Z59" s="192">
        <f t="shared" si="11"/>
        <v>3.7323978507517319</v>
      </c>
      <c r="AA59" s="192">
        <f t="shared" si="12"/>
        <v>-16.394272043948604</v>
      </c>
      <c r="AB59" s="192">
        <f t="shared" si="13"/>
        <v>0.46838339728713035</v>
      </c>
      <c r="AC59" s="192">
        <f t="shared" si="14"/>
        <v>-9.9711012102766949E-4</v>
      </c>
      <c r="AD59" s="192">
        <f t="shared" si="15"/>
        <v>1.015549016544633</v>
      </c>
    </row>
    <row r="60" spans="2:30" x14ac:dyDescent="0.2">
      <c r="B60" s="45">
        <v>5100</v>
      </c>
      <c r="C60" s="198">
        <v>1.8165446432655423</v>
      </c>
      <c r="D60" s="58">
        <v>7.7221231443853693</v>
      </c>
      <c r="E60" s="60">
        <v>0.41486000000000001</v>
      </c>
      <c r="F60" s="60">
        <v>0.73224999999999996</v>
      </c>
      <c r="G60" s="60">
        <v>11172.74360265728</v>
      </c>
      <c r="H60" s="60">
        <v>0.47320652437832872</v>
      </c>
      <c r="I60" s="60">
        <v>0.78350382629252213</v>
      </c>
      <c r="J60" s="60">
        <v>0.33071044764452101</v>
      </c>
      <c r="K60" s="60">
        <v>-0.66928955235547893</v>
      </c>
      <c r="L60" s="60">
        <v>-0.20602526954023831</v>
      </c>
      <c r="M60" s="60">
        <v>-0.11357389765060509</v>
      </c>
      <c r="N60" s="60">
        <v>0.99226999999999999</v>
      </c>
      <c r="O60" s="60"/>
      <c r="P60" s="60"/>
      <c r="Q60" s="60">
        <v>6.6680544E-4</v>
      </c>
      <c r="R60" s="60">
        <v>3.7441654666666665E-3</v>
      </c>
      <c r="S60" s="60">
        <v>13.462338573414492</v>
      </c>
      <c r="T60" s="60">
        <v>2.689778077937157E-2</v>
      </c>
      <c r="V60" s="192">
        <f t="shared" si="8"/>
        <v>0.55049569175593338</v>
      </c>
      <c r="W60" s="192">
        <v>0.20044539808161999</v>
      </c>
      <c r="X60" s="192">
        <f t="shared" si="9"/>
        <v>-0.20431278873600137</v>
      </c>
      <c r="Y60" s="192">
        <f t="shared" si="10"/>
        <v>5.9316518913136509</v>
      </c>
      <c r="Z60" s="192">
        <f t="shared" si="11"/>
        <v>3.7323978507517319</v>
      </c>
      <c r="AA60" s="192">
        <f t="shared" si="12"/>
        <v>-16.394272043948604</v>
      </c>
      <c r="AB60" s="192">
        <f t="shared" si="13"/>
        <v>0.48335183068533755</v>
      </c>
      <c r="AC60" s="192">
        <f t="shared" si="14"/>
        <v>2.7245157175261048E-5</v>
      </c>
      <c r="AD60" s="192">
        <f t="shared" si="15"/>
        <v>1.019293985750706</v>
      </c>
    </row>
    <row r="61" spans="2:30" x14ac:dyDescent="0.2">
      <c r="B61" s="45">
        <v>5200</v>
      </c>
      <c r="C61" s="198">
        <v>1.8165446432655423</v>
      </c>
      <c r="D61" s="58">
        <v>7.8735373236870432</v>
      </c>
      <c r="E61" s="60">
        <v>0.41486000000000001</v>
      </c>
      <c r="F61" s="60">
        <v>0.73224999999999996</v>
      </c>
      <c r="G61" s="60">
        <v>11172.74360265728</v>
      </c>
      <c r="H61" s="60">
        <v>0.47320652437832872</v>
      </c>
      <c r="I61" s="60">
        <v>0.79886664641590488</v>
      </c>
      <c r="J61" s="60">
        <v>0.3371949662257861</v>
      </c>
      <c r="K61" s="60">
        <v>-0.66280503377421396</v>
      </c>
      <c r="L61" s="60">
        <v>-0.21662462177969438</v>
      </c>
      <c r="M61" s="60">
        <v>-0.11733414881384978</v>
      </c>
      <c r="N61" s="60">
        <v>0.99777000000000005</v>
      </c>
      <c r="O61" s="60"/>
      <c r="P61" s="60"/>
      <c r="Q61" s="60">
        <v>6.5760718153846161E-4</v>
      </c>
      <c r="R61" s="60">
        <v>3.6925165153846155E-3</v>
      </c>
      <c r="S61" s="60">
        <v>13.650642584032667</v>
      </c>
      <c r="T61" s="60">
        <v>2.723574598612032E-2</v>
      </c>
      <c r="V61" s="192">
        <f t="shared" si="8"/>
        <v>0.55049569175593338</v>
      </c>
      <c r="W61" s="192">
        <v>0.20244985206243618</v>
      </c>
      <c r="X61" s="192">
        <f t="shared" si="9"/>
        <v>-0.20831892184847201</v>
      </c>
      <c r="Y61" s="192">
        <f t="shared" si="10"/>
        <v>5.9316518913136509</v>
      </c>
      <c r="Z61" s="192">
        <f t="shared" si="11"/>
        <v>3.7323978507517319</v>
      </c>
      <c r="AA61" s="192">
        <f t="shared" si="12"/>
        <v>-16.394272043948604</v>
      </c>
      <c r="AB61" s="192">
        <f t="shared" si="13"/>
        <v>0.49290022505302994</v>
      </c>
      <c r="AC61" s="192">
        <f t="shared" si="14"/>
        <v>-7.6030343417986257E-4</v>
      </c>
      <c r="AD61" s="192">
        <f t="shared" si="15"/>
        <v>1.0289902399347064</v>
      </c>
    </row>
    <row r="62" spans="2:30" x14ac:dyDescent="0.2">
      <c r="B62" s="45">
        <v>5300</v>
      </c>
      <c r="C62" s="198">
        <v>1.8165446432655423</v>
      </c>
      <c r="D62" s="58">
        <v>8.0249515029887171</v>
      </c>
      <c r="E62" s="60">
        <v>0.41486000000000001</v>
      </c>
      <c r="F62" s="60">
        <v>0.73224999999999996</v>
      </c>
      <c r="G62" s="60">
        <v>11172.74360265728</v>
      </c>
      <c r="H62" s="60">
        <v>0.47320652437832872</v>
      </c>
      <c r="I62" s="60">
        <v>0.81422946653928774</v>
      </c>
      <c r="J62" s="60">
        <v>0.34367948480705124</v>
      </c>
      <c r="K62" s="60">
        <v>-0.65632051519294876</v>
      </c>
      <c r="L62" s="60">
        <v>-0.22747626790653525</v>
      </c>
      <c r="M62" s="60">
        <v>-0.12112447077089873</v>
      </c>
      <c r="N62" s="60">
        <v>1.00335</v>
      </c>
      <c r="O62" s="60"/>
      <c r="P62" s="60"/>
      <c r="Q62" s="60">
        <v>6.4880775849056609E-4</v>
      </c>
      <c r="R62" s="60">
        <v>3.6431070566037733E-3</v>
      </c>
      <c r="S62" s="60">
        <v>13.835778747095777</v>
      </c>
      <c r="T62" s="60">
        <v>2.7573625412608927E-2</v>
      </c>
      <c r="V62" s="192">
        <f t="shared" si="8"/>
        <v>0.55049569175593338</v>
      </c>
      <c r="W62" s="192">
        <v>0.20536537085615611</v>
      </c>
      <c r="X62" s="192">
        <f t="shared" si="9"/>
        <v>-0.21232505496094259</v>
      </c>
      <c r="Y62" s="192">
        <f t="shared" si="10"/>
        <v>5.9316518913136509</v>
      </c>
      <c r="Z62" s="192">
        <f t="shared" si="11"/>
        <v>3.7323978507517319</v>
      </c>
      <c r="AA62" s="192">
        <f t="shared" si="12"/>
        <v>-16.394272043948604</v>
      </c>
      <c r="AB62" s="192">
        <f t="shared" si="13"/>
        <v>0.50705334969336169</v>
      </c>
      <c r="AC62" s="192">
        <f t="shared" si="14"/>
        <v>1.9209905174351338E-5</v>
      </c>
      <c r="AD62" s="192">
        <f t="shared" si="15"/>
        <v>1.0338892778065356</v>
      </c>
    </row>
    <row r="63" spans="2:30" x14ac:dyDescent="0.2">
      <c r="B63" s="45">
        <v>5400</v>
      </c>
      <c r="C63" s="198">
        <v>1.8165446432655423</v>
      </c>
      <c r="D63" s="58">
        <v>8.1763656822903918</v>
      </c>
      <c r="E63" s="60">
        <v>0.41486000000000001</v>
      </c>
      <c r="F63" s="60">
        <v>0.73224999999999996</v>
      </c>
      <c r="G63" s="60">
        <v>11172.74360265728</v>
      </c>
      <c r="H63" s="60">
        <v>0.47320652437832872</v>
      </c>
      <c r="I63" s="60">
        <v>0.8295922866626706</v>
      </c>
      <c r="J63" s="60">
        <v>0.35016400338831638</v>
      </c>
      <c r="K63" s="60">
        <v>-0.64983599661168356</v>
      </c>
      <c r="L63" s="60">
        <v>-0.23858020792076068</v>
      </c>
      <c r="M63" s="60">
        <v>-0.12494322751735124</v>
      </c>
      <c r="N63" s="60">
        <v>1.00901</v>
      </c>
      <c r="O63" s="60"/>
      <c r="P63" s="60"/>
      <c r="Q63" s="60">
        <v>6.403850133333334E-4</v>
      </c>
      <c r="R63" s="60">
        <v>3.5958126740740742E-3</v>
      </c>
      <c r="S63" s="60">
        <v>14.017755582924671</v>
      </c>
      <c r="T63" s="60">
        <v>2.7911238756983356E-2</v>
      </c>
      <c r="V63" s="192">
        <f t="shared" si="8"/>
        <v>0.55049569175593338</v>
      </c>
      <c r="W63" s="192">
        <v>0.20741902456471767</v>
      </c>
      <c r="X63" s="192">
        <f t="shared" si="9"/>
        <v>-0.21633118807341323</v>
      </c>
      <c r="Y63" s="192">
        <f t="shared" si="10"/>
        <v>5.9316518913136509</v>
      </c>
      <c r="Z63" s="192">
        <f t="shared" si="11"/>
        <v>3.7323978507517319</v>
      </c>
      <c r="AA63" s="192">
        <f t="shared" si="12"/>
        <v>-16.394272043948604</v>
      </c>
      <c r="AB63" s="192">
        <f t="shared" si="13"/>
        <v>0.51721446597515475</v>
      </c>
      <c r="AC63" s="192">
        <f t="shared" si="14"/>
        <v>-5.3949509007398394E-4</v>
      </c>
      <c r="AD63" s="192">
        <f t="shared" si="15"/>
        <v>1.0429669531394159</v>
      </c>
    </row>
    <row r="64" spans="2:30" x14ac:dyDescent="0.2">
      <c r="B64" s="45">
        <v>5500</v>
      </c>
      <c r="C64" s="198">
        <v>1.8165446432655423</v>
      </c>
      <c r="D64" s="58">
        <v>8.3277798615920648</v>
      </c>
      <c r="E64" s="60">
        <v>0.41486000000000001</v>
      </c>
      <c r="F64" s="60">
        <v>0.73224999999999996</v>
      </c>
      <c r="G64" s="60">
        <v>11172.74360265728</v>
      </c>
      <c r="H64" s="60">
        <v>0.47320652437832872</v>
      </c>
      <c r="I64" s="60">
        <v>0.84495510678605323</v>
      </c>
      <c r="J64" s="60">
        <v>0.35664852196958147</v>
      </c>
      <c r="K64" s="60">
        <v>-0.64335147803041859</v>
      </c>
      <c r="L64" s="60">
        <v>-0.24993644182237076</v>
      </c>
      <c r="M64" s="60">
        <v>-0.12878878304880656</v>
      </c>
      <c r="N64" s="60">
        <v>1.0147299999999999</v>
      </c>
      <c r="O64" s="60"/>
      <c r="P64" s="60"/>
      <c r="Q64" s="60">
        <v>6.3230593745454541E-4</v>
      </c>
      <c r="R64" s="60">
        <v>3.5504480218181813E-3</v>
      </c>
      <c r="S64" s="60">
        <v>14.196862727577876</v>
      </c>
      <c r="T64" s="60">
        <v>2.8248938466059078E-2</v>
      </c>
      <c r="V64" s="192">
        <f t="shared" si="8"/>
        <v>0.55049569175593338</v>
      </c>
      <c r="W64" s="192">
        <v>0.20949321481036484</v>
      </c>
      <c r="X64" s="192">
        <f t="shared" si="9"/>
        <v>-0.22033732118588378</v>
      </c>
      <c r="Y64" s="192">
        <f t="shared" si="10"/>
        <v>5.9316518913136509</v>
      </c>
      <c r="Z64" s="192">
        <f t="shared" si="11"/>
        <v>3.7323978507517319</v>
      </c>
      <c r="AA64" s="192">
        <f t="shared" si="12"/>
        <v>-16.394272043948604</v>
      </c>
      <c r="AB64" s="192">
        <f t="shared" si="13"/>
        <v>0.52764113136634838</v>
      </c>
      <c r="AC64" s="192">
        <f t="shared" si="14"/>
        <v>-9.9748856364965249E-4</v>
      </c>
      <c r="AD64" s="192">
        <f t="shared" si="15"/>
        <v>1.0517635207676541</v>
      </c>
    </row>
    <row r="65" spans="2:30" x14ac:dyDescent="0.2">
      <c r="B65" s="45">
        <v>5600</v>
      </c>
      <c r="C65" s="198">
        <v>1.8165446432655423</v>
      </c>
      <c r="D65" s="58">
        <v>8.4791940408937396</v>
      </c>
      <c r="E65" s="60">
        <v>0.41486000000000001</v>
      </c>
      <c r="F65" s="60">
        <v>0.73224999999999996</v>
      </c>
      <c r="G65" s="60">
        <v>11172.74360265728</v>
      </c>
      <c r="H65" s="60">
        <v>0.47320652437832872</v>
      </c>
      <c r="I65" s="60">
        <v>0.86031792690943609</v>
      </c>
      <c r="J65" s="60">
        <v>0.36313304055084661</v>
      </c>
      <c r="K65" s="60">
        <v>-0.63686695944915339</v>
      </c>
      <c r="L65" s="60">
        <v>-0.26154496961136553</v>
      </c>
      <c r="M65" s="60">
        <v>-0.13265950136086413</v>
      </c>
      <c r="N65" s="60">
        <v>1.0205299999999999</v>
      </c>
      <c r="O65" s="60"/>
      <c r="P65" s="60"/>
      <c r="Q65" s="60">
        <v>6.2456436000000006E-4</v>
      </c>
      <c r="R65" s="60">
        <v>3.5069784499999995E-3</v>
      </c>
      <c r="S65" s="60">
        <v>14.372835164457069</v>
      </c>
      <c r="T65" s="60">
        <v>2.858603857841541E-2</v>
      </c>
      <c r="V65" s="192">
        <f t="shared" si="8"/>
        <v>0.55049569175593338</v>
      </c>
      <c r="W65" s="192">
        <v>0.21236262554666582</v>
      </c>
      <c r="X65" s="192">
        <f t="shared" si="9"/>
        <v>-0.22434345429835448</v>
      </c>
      <c r="Y65" s="192">
        <f t="shared" si="10"/>
        <v>5.9316518913136509</v>
      </c>
      <c r="Z65" s="192">
        <f t="shared" si="11"/>
        <v>3.7323978507517319</v>
      </c>
      <c r="AA65" s="192">
        <f t="shared" si="12"/>
        <v>-16.394272043948604</v>
      </c>
      <c r="AB65" s="192">
        <f t="shared" si="13"/>
        <v>0.54234188715846388</v>
      </c>
      <c r="AC65" s="192">
        <f t="shared" si="14"/>
        <v>1.8072288675098636E-5</v>
      </c>
      <c r="AD65" s="192">
        <f t="shared" si="15"/>
        <v>1.0564168422802622</v>
      </c>
    </row>
    <row r="66" spans="2:30" x14ac:dyDescent="0.2">
      <c r="B66" s="45">
        <v>5700</v>
      </c>
      <c r="C66" s="198">
        <v>1.8165446432655423</v>
      </c>
      <c r="D66" s="58">
        <v>8.6306082201954126</v>
      </c>
      <c r="E66" s="60">
        <v>0.41486000000000001</v>
      </c>
      <c r="F66" s="60">
        <v>0.73224999999999996</v>
      </c>
      <c r="G66" s="60">
        <v>11172.74360265728</v>
      </c>
      <c r="H66" s="60">
        <v>0.47320652437832872</v>
      </c>
      <c r="I66" s="60">
        <v>0.87568074703281884</v>
      </c>
      <c r="J66" s="60">
        <v>0.36961755913211175</v>
      </c>
      <c r="K66" s="60">
        <v>-0.63038244086788819</v>
      </c>
      <c r="L66" s="60">
        <v>-0.273405791287745</v>
      </c>
      <c r="M66" s="60">
        <v>-0.13655374644912313</v>
      </c>
      <c r="N66" s="60">
        <v>1.0263800000000001</v>
      </c>
      <c r="O66" s="60"/>
      <c r="P66" s="60"/>
      <c r="Q66" s="60">
        <v>6.1712448000000007E-4</v>
      </c>
      <c r="R66" s="60">
        <v>3.4652029333333335E-3</v>
      </c>
      <c r="S66" s="60">
        <v>14.546110042295881</v>
      </c>
      <c r="T66" s="60">
        <v>2.8923195672602594E-2</v>
      </c>
      <c r="V66" s="192">
        <f t="shared" si="8"/>
        <v>0.55049569175593338</v>
      </c>
      <c r="W66" s="192">
        <v>0.21448625180213249</v>
      </c>
      <c r="X66" s="192">
        <f t="shared" si="9"/>
        <v>-0.22834958741082503</v>
      </c>
      <c r="Y66" s="192">
        <f t="shared" si="10"/>
        <v>5.9316518913136509</v>
      </c>
      <c r="Z66" s="192">
        <f t="shared" si="11"/>
        <v>3.7323978507517319</v>
      </c>
      <c r="AA66" s="192">
        <f t="shared" si="12"/>
        <v>-16.394272043948604</v>
      </c>
      <c r="AB66" s="192">
        <f t="shared" si="13"/>
        <v>0.55343243077954429</v>
      </c>
      <c r="AC66" s="192">
        <f t="shared" si="14"/>
        <v>-1.8419709292156333E-4</v>
      </c>
      <c r="AD66" s="192">
        <f t="shared" si="15"/>
        <v>1.0646350779698539</v>
      </c>
    </row>
    <row r="67" spans="2:30" x14ac:dyDescent="0.2">
      <c r="B67" s="45">
        <v>5800</v>
      </c>
      <c r="C67" s="198">
        <v>1.8165446432655423</v>
      </c>
      <c r="D67" s="58">
        <v>8.7820223994970874</v>
      </c>
      <c r="E67" s="60">
        <v>0.41486000000000001</v>
      </c>
      <c r="F67" s="60">
        <v>0.73224999999999996</v>
      </c>
      <c r="G67" s="60">
        <v>11172.74360265728</v>
      </c>
      <c r="H67" s="60">
        <v>0.47320652437832872</v>
      </c>
      <c r="I67" s="60">
        <v>0.8910435671562017</v>
      </c>
      <c r="J67" s="60">
        <v>0.37610207771337684</v>
      </c>
      <c r="K67" s="60">
        <v>-0.62389792228662322</v>
      </c>
      <c r="L67" s="60">
        <v>-0.28551890685150882</v>
      </c>
      <c r="M67" s="60">
        <v>-0.140469882309183</v>
      </c>
      <c r="N67" s="60">
        <v>1.0323</v>
      </c>
      <c r="O67" s="60"/>
      <c r="P67" s="60"/>
      <c r="Q67" s="60">
        <v>6.0998251034482761E-4</v>
      </c>
      <c r="R67" s="60">
        <v>3.4251002068965515E-3</v>
      </c>
      <c r="S67" s="60">
        <v>14.716422919732558</v>
      </c>
      <c r="T67" s="60">
        <v>2.9259719867287669E-2</v>
      </c>
      <c r="V67" s="192">
        <f t="shared" si="8"/>
        <v>0.55049569175593338</v>
      </c>
      <c r="W67" s="192">
        <v>0.21663111432015381</v>
      </c>
      <c r="X67" s="192">
        <f t="shared" si="9"/>
        <v>-0.23235572052329567</v>
      </c>
      <c r="Y67" s="192">
        <f t="shared" si="10"/>
        <v>5.9316518913136509</v>
      </c>
      <c r="Z67" s="192">
        <f t="shared" si="11"/>
        <v>3.7323978507517319</v>
      </c>
      <c r="AA67" s="192">
        <f t="shared" si="12"/>
        <v>-16.394272043948604</v>
      </c>
      <c r="AB67" s="192">
        <f t="shared" si="13"/>
        <v>0.56481919037779893</v>
      </c>
      <c r="AC67" s="192">
        <f t="shared" si="14"/>
        <v>-2.7058713398313283E-4</v>
      </c>
      <c r="AD67" s="192">
        <f t="shared" si="15"/>
        <v>1.0725870161933564</v>
      </c>
    </row>
    <row r="68" spans="2:30" x14ac:dyDescent="0.2">
      <c r="B68" s="45">
        <v>5900</v>
      </c>
      <c r="C68" s="198">
        <v>1.8165446432655423</v>
      </c>
      <c r="D68" s="58">
        <v>8.9334365787987604</v>
      </c>
      <c r="E68" s="60">
        <v>0.41486000000000001</v>
      </c>
      <c r="F68" s="60">
        <v>0.73224999999999996</v>
      </c>
      <c r="G68" s="60">
        <v>11172.74360265728</v>
      </c>
      <c r="H68" s="60">
        <v>0.47320652437832872</v>
      </c>
      <c r="I68" s="60">
        <v>0.90640638727958434</v>
      </c>
      <c r="J68" s="60">
        <v>0.38258659629464198</v>
      </c>
      <c r="K68" s="60">
        <v>-0.61741340370535802</v>
      </c>
      <c r="L68" s="60">
        <v>-0.29788431630265771</v>
      </c>
      <c r="M68" s="60">
        <v>-0.14440627293664293</v>
      </c>
      <c r="N68" s="60">
        <v>1.03827</v>
      </c>
      <c r="O68" s="60"/>
      <c r="P68" s="60"/>
      <c r="Q68" s="60">
        <v>6.0311168542372888E-4</v>
      </c>
      <c r="R68" s="60">
        <v>3.386519979661017E-3</v>
      </c>
      <c r="S68" s="60">
        <v>14.884076718838253</v>
      </c>
      <c r="T68" s="60">
        <v>2.9596033950975507E-2</v>
      </c>
      <c r="V68" s="192">
        <f t="shared" si="8"/>
        <v>0.55049569175593338</v>
      </c>
      <c r="W68" s="192">
        <v>0.21879742546335534</v>
      </c>
      <c r="X68" s="192">
        <f t="shared" si="9"/>
        <v>-0.23636185363576626</v>
      </c>
      <c r="Y68" s="192">
        <f t="shared" si="10"/>
        <v>5.9316518913136509</v>
      </c>
      <c r="Z68" s="192">
        <f t="shared" si="11"/>
        <v>3.7323978507517319</v>
      </c>
      <c r="AA68" s="192">
        <f t="shared" si="12"/>
        <v>-16.394272043948604</v>
      </c>
      <c r="AB68" s="192">
        <f t="shared" si="13"/>
        <v>0.57651207572055863</v>
      </c>
      <c r="AC68" s="192">
        <f t="shared" si="14"/>
        <v>-2.3609453300606903E-4</v>
      </c>
      <c r="AD68" s="192">
        <f t="shared" si="15"/>
        <v>1.0802771245375218</v>
      </c>
    </row>
    <row r="69" spans="2:30" x14ac:dyDescent="0.2">
      <c r="B69" s="45">
        <v>6000</v>
      </c>
      <c r="C69" s="198">
        <v>1.8165446432655423</v>
      </c>
      <c r="D69" s="58">
        <v>9.0848507581004352</v>
      </c>
      <c r="E69" s="60">
        <v>0.41486000000000001</v>
      </c>
      <c r="F69" s="60">
        <v>0.73224999999999996</v>
      </c>
      <c r="G69" s="60">
        <v>11172.74360265728</v>
      </c>
      <c r="H69" s="60">
        <v>0.47320652437832872</v>
      </c>
      <c r="I69" s="60">
        <v>0.92176920740296719</v>
      </c>
      <c r="J69" s="60">
        <v>0.38907111487590712</v>
      </c>
      <c r="K69" s="60">
        <v>-0.61092888512409282</v>
      </c>
      <c r="L69" s="60">
        <v>-0.31050201964119095</v>
      </c>
      <c r="M69" s="60">
        <v>-0.14836128232710238</v>
      </c>
      <c r="N69" s="60">
        <v>1.0443</v>
      </c>
      <c r="O69" s="60"/>
      <c r="P69" s="60"/>
      <c r="Q69" s="60">
        <v>5.965041600000001E-4</v>
      </c>
      <c r="R69" s="60">
        <v>3.3494181999999999E-3</v>
      </c>
      <c r="S69" s="60">
        <v>15.048948855402156</v>
      </c>
      <c r="T69" s="60">
        <v>2.9931722296240238E-2</v>
      </c>
      <c r="V69" s="192">
        <f t="shared" si="8"/>
        <v>0.55049569175593338</v>
      </c>
      <c r="W69" s="192">
        <v>0.22098539971798889</v>
      </c>
      <c r="X69" s="192">
        <f t="shared" si="9"/>
        <v>-0.24036798674823689</v>
      </c>
      <c r="Y69" s="192">
        <f t="shared" si="10"/>
        <v>5.9316518913136509</v>
      </c>
      <c r="Z69" s="192">
        <f t="shared" si="11"/>
        <v>3.7323978507517319</v>
      </c>
      <c r="AA69" s="192">
        <f t="shared" si="12"/>
        <v>-16.394272043948604</v>
      </c>
      <c r="AB69" s="192">
        <f t="shared" si="13"/>
        <v>0.58852139474574539</v>
      </c>
      <c r="AC69" s="192">
        <f t="shared" si="14"/>
        <v>-7.5464933326045702E-5</v>
      </c>
      <c r="AD69" s="192">
        <f t="shared" si="15"/>
        <v>1.0877098082270735</v>
      </c>
    </row>
    <row r="70" spans="2:30" x14ac:dyDescent="0.2">
      <c r="B70" s="45">
        <v>6100</v>
      </c>
      <c r="C70" s="198">
        <v>1.8165446432655423</v>
      </c>
      <c r="D70" s="198">
        <v>9.2362649374021082</v>
      </c>
      <c r="E70" s="45">
        <v>0.41486000000000001</v>
      </c>
      <c r="F70" s="45">
        <v>0.73224999999999996</v>
      </c>
      <c r="G70" s="45">
        <v>11172.74360265728</v>
      </c>
      <c r="H70" s="45">
        <v>0.47320652437832872</v>
      </c>
      <c r="I70" s="45">
        <v>0.93713202752635005</v>
      </c>
      <c r="J70" s="45">
        <v>0.39555563345717221</v>
      </c>
      <c r="K70" s="45">
        <v>-0.60444436654282785</v>
      </c>
      <c r="L70" s="45">
        <v>-0.3233720168671087</v>
      </c>
      <c r="M70" s="45">
        <v>-0.15233327447616057</v>
      </c>
      <c r="N70" s="45">
        <v>1.0503800000000001</v>
      </c>
      <c r="Q70" s="45">
        <v>5.901413665573772E-4</v>
      </c>
      <c r="R70" s="45">
        <v>3.3136906098360655E-3</v>
      </c>
      <c r="S70" s="45">
        <v>15.21120379722076</v>
      </c>
      <c r="T70" s="45">
        <v>3.0266949943170102E-2</v>
      </c>
      <c r="V70" s="192">
        <f t="shared" si="8"/>
        <v>0.55049569175593338</v>
      </c>
      <c r="W70" s="192">
        <v>0.22319525371516877</v>
      </c>
      <c r="X70" s="192">
        <f t="shared" si="9"/>
        <v>-0.24437411986070751</v>
      </c>
      <c r="Y70" s="192">
        <f t="shared" si="10"/>
        <v>5.9316518913136509</v>
      </c>
      <c r="Z70" s="192">
        <f t="shared" si="11"/>
        <v>3.7323978507517319</v>
      </c>
      <c r="AA70" s="192">
        <f t="shared" si="12"/>
        <v>-16.394272043948604</v>
      </c>
      <c r="AB70" s="192">
        <f t="shared" si="13"/>
        <v>0.60085787224128628</v>
      </c>
      <c r="AC70" s="192">
        <f t="shared" si="14"/>
        <v>2.1682096436081294E-4</v>
      </c>
      <c r="AD70" s="192">
        <f t="shared" si="15"/>
        <v>1.0948894109216418</v>
      </c>
    </row>
    <row r="71" spans="2:30" x14ac:dyDescent="0.2">
      <c r="B71" s="45">
        <v>6200</v>
      </c>
      <c r="C71" s="198">
        <v>1.8165446432655423</v>
      </c>
      <c r="D71" s="198">
        <v>9.387679116703783</v>
      </c>
      <c r="E71" s="45">
        <v>0.41486000000000001</v>
      </c>
      <c r="F71" s="45">
        <v>0.73224999999999996</v>
      </c>
      <c r="G71" s="45">
        <v>11172.74360265728</v>
      </c>
      <c r="H71" s="45">
        <v>0.47320652437832872</v>
      </c>
      <c r="I71" s="45">
        <v>0.9524948476497328</v>
      </c>
      <c r="J71" s="45">
        <v>0.40204015203843729</v>
      </c>
      <c r="K71" s="45">
        <v>-0.59795984796156265</v>
      </c>
      <c r="L71" s="45">
        <v>-0.33649430798041113</v>
      </c>
      <c r="M71" s="45">
        <v>-0.15632061337941683</v>
      </c>
      <c r="N71" s="45">
        <v>1.0565</v>
      </c>
      <c r="Q71" s="45">
        <v>5.8400593548387099E-4</v>
      </c>
      <c r="R71" s="45">
        <v>3.2792396774193548E-3</v>
      </c>
      <c r="S71" s="45">
        <v>15.371009180646491</v>
      </c>
      <c r="T71" s="45">
        <v>3.0601906442050904E-2</v>
      </c>
      <c r="V71" s="192">
        <f t="shared" si="8"/>
        <v>0.55049569175593338</v>
      </c>
      <c r="W71" s="192">
        <v>0.22542720625232046</v>
      </c>
      <c r="X71" s="192">
        <f t="shared" si="9"/>
        <v>-0.24838025297317814</v>
      </c>
      <c r="Y71" s="192">
        <f t="shared" si="10"/>
        <v>5.9316518913136509</v>
      </c>
      <c r="Z71" s="192">
        <f t="shared" si="11"/>
        <v>3.7323978507517319</v>
      </c>
      <c r="AA71" s="192">
        <f t="shared" si="12"/>
        <v>-16.394272043948604</v>
      </c>
      <c r="AB71" s="192">
        <f t="shared" si="13"/>
        <v>0.61353266952869956</v>
      </c>
      <c r="AC71" s="192">
        <f t="shared" si="14"/>
        <v>6.4656212790206724E-4</v>
      </c>
      <c r="AD71" s="192">
        <f t="shared" si="15"/>
        <v>1.1018202155030319</v>
      </c>
    </row>
    <row r="72" spans="2:30" x14ac:dyDescent="0.2">
      <c r="B72" s="45">
        <v>6300</v>
      </c>
      <c r="C72" s="198">
        <v>1.8165446432655423</v>
      </c>
      <c r="D72" s="198">
        <v>9.539093296005456</v>
      </c>
      <c r="E72" s="45">
        <v>0.41486000000000001</v>
      </c>
      <c r="F72" s="45">
        <v>0.73224999999999996</v>
      </c>
      <c r="G72" s="45">
        <v>11172.74360265728</v>
      </c>
      <c r="H72" s="45">
        <v>0.47320652437832872</v>
      </c>
      <c r="I72" s="45">
        <v>0.96785766777311555</v>
      </c>
      <c r="J72" s="45">
        <v>0.40852467061970243</v>
      </c>
      <c r="K72" s="45">
        <v>-0.59147532938029757</v>
      </c>
      <c r="L72" s="45">
        <v>-0.34986889298109841</v>
      </c>
      <c r="M72" s="45">
        <v>-0.16032166303247045</v>
      </c>
      <c r="N72" s="45">
        <v>1.0626800000000001</v>
      </c>
      <c r="Q72" s="45">
        <v>5.7809792000000008E-4</v>
      </c>
      <c r="R72" s="45">
        <v>3.2460657015873019E-3</v>
      </c>
      <c r="S72" s="45">
        <v>15.528097032202819</v>
      </c>
      <c r="T72" s="45">
        <v>3.0935866959483933E-2</v>
      </c>
      <c r="V72" s="192">
        <f t="shared" si="8"/>
        <v>0.55049569175593338</v>
      </c>
      <c r="W72" s="192">
        <v>0.22708099226280098</v>
      </c>
      <c r="X72" s="192">
        <f t="shared" si="9"/>
        <v>-0.25238638608564867</v>
      </c>
      <c r="Y72" s="192">
        <f t="shared" si="10"/>
        <v>5.9316518913136509</v>
      </c>
      <c r="Z72" s="192">
        <f t="shared" si="11"/>
        <v>3.7323978507517319</v>
      </c>
      <c r="AA72" s="192">
        <f t="shared" si="12"/>
        <v>-16.394272043948604</v>
      </c>
      <c r="AB72" s="192">
        <f t="shared" si="13"/>
        <v>0.62306577373215344</v>
      </c>
      <c r="AC72" s="192">
        <f t="shared" si="14"/>
        <v>-9.9035379778067423E-6</v>
      </c>
      <c r="AD72" s="192">
        <f t="shared" si="15"/>
        <v>1.1114377454963811</v>
      </c>
    </row>
    <row r="73" spans="2:30" x14ac:dyDescent="0.2">
      <c r="B73" s="45">
        <v>6400</v>
      </c>
      <c r="C73" s="198">
        <v>1.8165446432655423</v>
      </c>
      <c r="D73" s="198">
        <v>9.6905074753071307</v>
      </c>
      <c r="E73" s="45">
        <v>0.41486000000000001</v>
      </c>
      <c r="F73" s="45">
        <v>0.73224999999999996</v>
      </c>
      <c r="G73" s="45">
        <v>11172.74360265728</v>
      </c>
      <c r="H73" s="45">
        <v>0.47320652437832872</v>
      </c>
      <c r="I73" s="45">
        <v>0.9832204878964983</v>
      </c>
      <c r="J73" s="45">
        <v>0.41500918920096752</v>
      </c>
      <c r="K73" s="45">
        <v>-0.58499081079903248</v>
      </c>
      <c r="L73" s="45">
        <v>-0.36349577186917015</v>
      </c>
      <c r="M73" s="45">
        <v>-0.16433478743092075</v>
      </c>
      <c r="N73" s="45">
        <v>1.0688899999999999</v>
      </c>
      <c r="Q73" s="45">
        <v>5.7239059499999999E-4</v>
      </c>
      <c r="R73" s="45">
        <v>3.2140186187499991E-3</v>
      </c>
      <c r="S73" s="45">
        <v>15.682928186258238</v>
      </c>
      <c r="T73" s="45">
        <v>3.1269654977029486E-2</v>
      </c>
      <c r="V73" s="192">
        <f t="shared" si="8"/>
        <v>0.55049569175593338</v>
      </c>
      <c r="W73" s="192">
        <v>0.229351802185429</v>
      </c>
      <c r="X73" s="192">
        <f t="shared" si="9"/>
        <v>-0.25639251919811934</v>
      </c>
      <c r="Y73" s="192">
        <f t="shared" si="10"/>
        <v>5.9316518913136509</v>
      </c>
      <c r="Z73" s="192">
        <f t="shared" si="11"/>
        <v>3.7323978507517319</v>
      </c>
      <c r="AA73" s="192">
        <f t="shared" si="12"/>
        <v>-16.394272043948604</v>
      </c>
      <c r="AB73" s="192">
        <f t="shared" si="13"/>
        <v>0.63635525173159002</v>
      </c>
      <c r="AC73" s="192">
        <f t="shared" si="14"/>
        <v>6.7290089954319399E-4</v>
      </c>
      <c r="AD73" s="192">
        <f t="shared" si="15"/>
        <v>1.117900608388628</v>
      </c>
    </row>
    <row r="74" spans="2:30" x14ac:dyDescent="0.2">
      <c r="B74" s="45">
        <v>6500</v>
      </c>
      <c r="C74" s="198">
        <v>1.8165446432655423</v>
      </c>
      <c r="D74" s="198">
        <v>9.8419216546088037</v>
      </c>
      <c r="E74" s="45">
        <v>0.41486000000000001</v>
      </c>
      <c r="F74" s="45">
        <v>0.73224999999999996</v>
      </c>
      <c r="G74" s="45">
        <v>11172.74360265728</v>
      </c>
      <c r="H74" s="45">
        <v>0.47320652437832872</v>
      </c>
      <c r="I74" s="45">
        <v>0.99858330801988116</v>
      </c>
      <c r="J74" s="45">
        <v>0.42149370778223266</v>
      </c>
      <c r="K74" s="45">
        <v>-0.57850629221776728</v>
      </c>
      <c r="L74" s="45">
        <v>-0.37737494464462662</v>
      </c>
      <c r="M74" s="45">
        <v>-0.16835835057036713</v>
      </c>
      <c r="N74" s="45">
        <v>1.0751500000000001</v>
      </c>
      <c r="Q74" s="45">
        <v>5.6688524307692311E-4</v>
      </c>
      <c r="R74" s="45">
        <v>3.183105630769231E-3</v>
      </c>
      <c r="S74" s="45">
        <v>15.8352342127497</v>
      </c>
      <c r="T74" s="45">
        <v>3.160254250234782E-2</v>
      </c>
      <c r="V74" s="192">
        <f t="shared" si="8"/>
        <v>0.55049569175593338</v>
      </c>
      <c r="W74" s="192">
        <v>0.23093007040807534</v>
      </c>
      <c r="X74" s="192">
        <f t="shared" si="9"/>
        <v>-0.26039865231058995</v>
      </c>
      <c r="Y74" s="192">
        <f t="shared" si="10"/>
        <v>5.9316518913136509</v>
      </c>
      <c r="Z74" s="192">
        <f t="shared" si="11"/>
        <v>3.7323978507517319</v>
      </c>
      <c r="AA74" s="192">
        <f t="shared" si="12"/>
        <v>-16.394272043948604</v>
      </c>
      <c r="AB74" s="192">
        <f t="shared" si="13"/>
        <v>0.64572981412334785</v>
      </c>
      <c r="AC74" s="192">
        <f t="shared" si="14"/>
        <v>-1.1835941397808636E-5</v>
      </c>
      <c r="AD74" s="192">
        <f t="shared" si="15"/>
        <v>1.1276082488973429</v>
      </c>
    </row>
    <row r="75" spans="2:30" x14ac:dyDescent="0.2">
      <c r="B75" s="45">
        <v>6600</v>
      </c>
      <c r="C75" s="198">
        <v>1.8165446432655423</v>
      </c>
      <c r="D75" s="198">
        <v>9.9933358339104785</v>
      </c>
      <c r="E75" s="45">
        <v>0.41486000000000001</v>
      </c>
      <c r="F75" s="45">
        <v>0.73224999999999996</v>
      </c>
      <c r="G75" s="45">
        <v>11172.74360265728</v>
      </c>
      <c r="H75" s="45">
        <v>0.47320652437832872</v>
      </c>
      <c r="I75" s="45">
        <v>1.013946128143264</v>
      </c>
      <c r="J75" s="45">
        <v>0.42797822636349775</v>
      </c>
      <c r="K75" s="45">
        <v>-0.57202177363650231</v>
      </c>
      <c r="L75" s="45">
        <v>-0.39150641130746744</v>
      </c>
      <c r="M75" s="45">
        <v>-0.17239071644640885</v>
      </c>
      <c r="N75" s="45">
        <v>1.08145</v>
      </c>
      <c r="Q75" s="45">
        <v>5.6156749090909095E-4</v>
      </c>
      <c r="R75" s="45">
        <v>3.1532460303030302E-3</v>
      </c>
      <c r="S75" s="45">
        <v>15.985185647663892</v>
      </c>
      <c r="T75" s="45">
        <v>3.1934746993368013E-2</v>
      </c>
      <c r="V75" s="192">
        <f t="shared" ref="V75:V109" si="16">1/C75</f>
        <v>0.55049569175593338</v>
      </c>
      <c r="W75" s="192">
        <v>0.23323937111215609</v>
      </c>
      <c r="X75" s="192">
        <f t="shared" ref="X75:X109" si="17">+-0.06125*D75*V75*EXP(-1.2*(1-V75)^2)</f>
        <v>-0.26440478542306056</v>
      </c>
      <c r="Y75" s="192">
        <f t="shared" ref="Y75:Y109" si="18">+(14.76*V75)-(9.76*V75^2)+(4.58*V75^3)</f>
        <v>5.9316518913136509</v>
      </c>
      <c r="Z75" s="192">
        <f t="shared" ref="Z75:Z109" si="19">2.18+2.82*V75</f>
        <v>3.7323978507517319</v>
      </c>
      <c r="AA75" s="192">
        <f t="shared" ref="AA75:AA109" si="20">+(90.7*V75)-(242.2*V75^2)+(42.4*V75^3)</f>
        <v>-16.394272043948604</v>
      </c>
      <c r="AB75" s="192">
        <f t="shared" ref="AB75:AB109" si="21">+((W75)+(W75^2)+(W75^3)-(W75^4))/((1-W75)^3)</f>
        <v>0.65965392307603943</v>
      </c>
      <c r="AC75" s="192">
        <f t="shared" ref="AC75:AC109" si="22">+X75+AB75-Y75*(W75^2)+(AA75*W75^Z75)</f>
        <v>9.3662413086567642E-4</v>
      </c>
      <c r="AD75" s="192">
        <f t="shared" ref="AD75:AD109" si="23">+(0.06125*D75*V75*EXP(-1.2*(1-V75)^2)/W75)</f>
        <v>1.1336198694169783</v>
      </c>
    </row>
    <row r="76" spans="2:30" x14ac:dyDescent="0.2">
      <c r="B76" s="45">
        <v>6700</v>
      </c>
      <c r="C76" s="198">
        <v>1.8165446432655423</v>
      </c>
      <c r="D76" s="198">
        <v>10.144750013212152</v>
      </c>
      <c r="E76" s="45">
        <v>0.41486000000000001</v>
      </c>
      <c r="F76" s="45">
        <v>0.73224999999999996</v>
      </c>
      <c r="G76" s="45">
        <v>11172.74360265728</v>
      </c>
      <c r="H76" s="45">
        <v>0.47320652437832872</v>
      </c>
      <c r="I76" s="45">
        <v>1.0293089482666469</v>
      </c>
      <c r="J76" s="45">
        <v>0.43446274494476289</v>
      </c>
      <c r="K76" s="45">
        <v>-0.56553725505523711</v>
      </c>
      <c r="L76" s="45">
        <v>-0.40589017185769322</v>
      </c>
      <c r="M76" s="45">
        <v>-0.17643024905464522</v>
      </c>
      <c r="N76" s="45">
        <v>1.08778</v>
      </c>
      <c r="Q76" s="45">
        <v>5.5642382328358216E-4</v>
      </c>
      <c r="R76" s="45">
        <v>3.1243639283582087E-3</v>
      </c>
      <c r="S76" s="45">
        <v>16.13295516877897</v>
      </c>
      <c r="T76" s="45">
        <v>3.2266509526275251E-2</v>
      </c>
      <c r="V76" s="192">
        <f t="shared" si="16"/>
        <v>0.55049569175593338</v>
      </c>
      <c r="W76" s="192">
        <v>0.23463726849453431</v>
      </c>
      <c r="X76" s="192">
        <f t="shared" si="17"/>
        <v>-0.26841091853553117</v>
      </c>
      <c r="Y76" s="192">
        <f t="shared" si="18"/>
        <v>5.9316518913136509</v>
      </c>
      <c r="Z76" s="192">
        <f t="shared" si="19"/>
        <v>3.7323978507517319</v>
      </c>
      <c r="AA76" s="192">
        <f t="shared" si="20"/>
        <v>-16.394272043948604</v>
      </c>
      <c r="AB76" s="192">
        <f t="shared" si="21"/>
        <v>0.66820405475468581</v>
      </c>
      <c r="AC76" s="192">
        <f t="shared" si="22"/>
        <v>-1.4381480452227424E-5</v>
      </c>
      <c r="AD76" s="192">
        <f t="shared" si="23"/>
        <v>1.1439398364023472</v>
      </c>
    </row>
    <row r="77" spans="2:30" x14ac:dyDescent="0.2">
      <c r="B77" s="45">
        <v>6800</v>
      </c>
      <c r="C77" s="198">
        <v>1.8165446432655423</v>
      </c>
      <c r="D77" s="198">
        <v>10.296164192513826</v>
      </c>
      <c r="E77" s="45">
        <v>0.41486000000000001</v>
      </c>
      <c r="F77" s="45">
        <v>0.73224999999999996</v>
      </c>
      <c r="G77" s="45">
        <v>11172.74360265728</v>
      </c>
      <c r="H77" s="45">
        <v>0.47320652437832872</v>
      </c>
      <c r="I77" s="45">
        <v>1.0446717683900295</v>
      </c>
      <c r="J77" s="45">
        <v>0.44094726352602803</v>
      </c>
      <c r="K77" s="45">
        <v>-0.55905273647397191</v>
      </c>
      <c r="L77" s="45">
        <v>-0.42052622629530378</v>
      </c>
      <c r="M77" s="45">
        <v>-0.18047531239067544</v>
      </c>
      <c r="N77" s="45">
        <v>1.09415</v>
      </c>
      <c r="Q77" s="45">
        <v>5.5145159999999999E-4</v>
      </c>
      <c r="R77" s="45">
        <v>3.0964445E-3</v>
      </c>
      <c r="S77" s="45">
        <v>16.27841971240019</v>
      </c>
      <c r="T77" s="45">
        <v>3.2597413058620572E-2</v>
      </c>
      <c r="V77" s="192">
        <f t="shared" si="16"/>
        <v>0.55049569175593338</v>
      </c>
      <c r="W77" s="192">
        <v>0.23644263122465811</v>
      </c>
      <c r="X77" s="192">
        <f t="shared" si="17"/>
        <v>-0.27241705164800178</v>
      </c>
      <c r="Y77" s="192">
        <f t="shared" si="18"/>
        <v>5.9316518913136509</v>
      </c>
      <c r="Z77" s="192">
        <f t="shared" si="19"/>
        <v>3.7323978507517319</v>
      </c>
      <c r="AA77" s="192">
        <f t="shared" si="20"/>
        <v>-16.394272043948604</v>
      </c>
      <c r="AB77" s="192">
        <f t="shared" si="21"/>
        <v>0.67938389135249988</v>
      </c>
      <c r="AC77" s="192">
        <f t="shared" si="22"/>
        <v>-1.0963854280038321E-5</v>
      </c>
      <c r="AD77" s="192">
        <f t="shared" si="23"/>
        <v>1.1521486215790004</v>
      </c>
    </row>
    <row r="78" spans="2:30" x14ac:dyDescent="0.2">
      <c r="B78" s="45">
        <v>6900</v>
      </c>
      <c r="C78" s="198">
        <v>1.8165446432655423</v>
      </c>
      <c r="D78" s="198">
        <v>10.447578371815499</v>
      </c>
      <c r="E78" s="45">
        <v>0.41486000000000001</v>
      </c>
      <c r="F78" s="45">
        <v>0.73224999999999996</v>
      </c>
      <c r="G78" s="45">
        <v>11172.74360265728</v>
      </c>
      <c r="H78" s="45">
        <v>0.47320652437832872</v>
      </c>
      <c r="I78" s="45">
        <v>1.0600345885134124</v>
      </c>
      <c r="J78" s="45">
        <v>0.44743178210729312</v>
      </c>
      <c r="K78" s="45">
        <v>-0.55256821789270694</v>
      </c>
      <c r="L78" s="45">
        <v>-0.43541457462029853</v>
      </c>
      <c r="M78" s="45">
        <v>-0.18452427045009906</v>
      </c>
      <c r="N78" s="45">
        <v>1.1005499999999999</v>
      </c>
      <c r="Q78" s="45">
        <v>5.4663840000000003E-4</v>
      </c>
      <c r="R78" s="45">
        <v>3.069418E-3</v>
      </c>
      <c r="S78" s="45">
        <v>16.421752653810312</v>
      </c>
      <c r="T78" s="45">
        <v>3.2927712077455977E-2</v>
      </c>
      <c r="V78" s="192">
        <f t="shared" si="16"/>
        <v>0.55049569175593338</v>
      </c>
      <c r="W78" s="192">
        <v>0.23821377572627769</v>
      </c>
      <c r="X78" s="192">
        <f t="shared" si="17"/>
        <v>-0.2764231847604724</v>
      </c>
      <c r="Y78" s="192">
        <f t="shared" si="18"/>
        <v>5.9316518913136509</v>
      </c>
      <c r="Z78" s="192">
        <f t="shared" si="19"/>
        <v>3.7323978507517319</v>
      </c>
      <c r="AA78" s="192">
        <f t="shared" si="20"/>
        <v>-16.394272043948604</v>
      </c>
      <c r="AB78" s="192">
        <f t="shared" si="21"/>
        <v>0.6905044222714295</v>
      </c>
      <c r="AC78" s="192">
        <f t="shared" si="22"/>
        <v>-1.2065771457001051E-5</v>
      </c>
      <c r="AD78" s="192">
        <f t="shared" si="23"/>
        <v>1.1603996616807739</v>
      </c>
    </row>
    <row r="79" spans="2:30" x14ac:dyDescent="0.2">
      <c r="B79" s="45">
        <v>7000</v>
      </c>
      <c r="C79" s="198">
        <v>1.8165446432655423</v>
      </c>
      <c r="D79" s="198">
        <v>10.598992551117174</v>
      </c>
      <c r="E79" s="45">
        <v>0.41486000000000001</v>
      </c>
      <c r="F79" s="45">
        <v>0.73224999999999996</v>
      </c>
      <c r="G79" s="45">
        <v>11172.74360265728</v>
      </c>
      <c r="H79" s="45">
        <v>0.47320652437832872</v>
      </c>
      <c r="I79" s="45">
        <v>1.0753974086367952</v>
      </c>
      <c r="J79" s="45">
        <v>0.45391630068855826</v>
      </c>
      <c r="K79" s="45">
        <v>-0.54608369931144174</v>
      </c>
      <c r="L79" s="45">
        <v>-0.45055521683267824</v>
      </c>
      <c r="M79" s="45">
        <v>-0.18857548722851519</v>
      </c>
      <c r="N79" s="45">
        <v>1.1069800000000001</v>
      </c>
      <c r="Q79" s="45">
        <v>5.4197740800000012E-4</v>
      </c>
      <c r="R79" s="45">
        <v>3.0432461600000005E-3</v>
      </c>
      <c r="S79" s="45">
        <v>16.562979311260559</v>
      </c>
      <c r="T79" s="45">
        <v>3.3257332494720446E-2</v>
      </c>
      <c r="V79" s="192">
        <f t="shared" si="16"/>
        <v>0.55049569175593338</v>
      </c>
      <c r="W79" s="192">
        <v>0.23995376943432939</v>
      </c>
      <c r="X79" s="192">
        <f t="shared" si="17"/>
        <v>-0.28042931787294306</v>
      </c>
      <c r="Y79" s="192">
        <f t="shared" si="18"/>
        <v>5.9316518913136509</v>
      </c>
      <c r="Z79" s="192">
        <f t="shared" si="19"/>
        <v>3.7323978507517319</v>
      </c>
      <c r="AA79" s="192">
        <f t="shared" si="20"/>
        <v>-16.394272043948604</v>
      </c>
      <c r="AB79" s="192">
        <f t="shared" si="21"/>
        <v>0.70157863690985833</v>
      </c>
      <c r="AC79" s="192">
        <f t="shared" si="22"/>
        <v>-1.3117547804974983E-5</v>
      </c>
      <c r="AD79" s="192">
        <f t="shared" si="23"/>
        <v>1.1686806109944901</v>
      </c>
    </row>
    <row r="80" spans="2:30" x14ac:dyDescent="0.2">
      <c r="B80" s="45">
        <v>7100</v>
      </c>
      <c r="C80" s="198">
        <v>1.8165446432655423</v>
      </c>
      <c r="D80" s="198">
        <v>10.750406730418847</v>
      </c>
      <c r="E80" s="45">
        <v>0.41486000000000001</v>
      </c>
      <c r="F80" s="45">
        <v>0.73224999999999996</v>
      </c>
      <c r="G80" s="45">
        <v>11172.74360265728</v>
      </c>
      <c r="H80" s="45">
        <v>0.47320652437832872</v>
      </c>
      <c r="I80" s="45">
        <v>1.0907602287601779</v>
      </c>
      <c r="J80" s="45">
        <v>0.4604008192698234</v>
      </c>
      <c r="K80" s="45">
        <v>-0.53959918073017654</v>
      </c>
      <c r="L80" s="45">
        <v>-0.46594815293244268</v>
      </c>
      <c r="M80" s="45">
        <v>-0.19262732672152319</v>
      </c>
      <c r="N80" s="45">
        <v>1.1134500000000001</v>
      </c>
      <c r="Q80" s="45">
        <v>5.3746701971830991E-4</v>
      </c>
      <c r="R80" s="45">
        <v>3.0179199718309859E-3</v>
      </c>
      <c r="S80" s="45">
        <v>16.701974756663962</v>
      </c>
      <c r="T80" s="45">
        <v>3.3585844599806722E-2</v>
      </c>
      <c r="V80" s="192">
        <f t="shared" si="16"/>
        <v>0.55049569175593338</v>
      </c>
      <c r="W80" s="192">
        <v>0.24166355243228396</v>
      </c>
      <c r="X80" s="192">
        <f t="shared" si="17"/>
        <v>-0.28443545098541362</v>
      </c>
      <c r="Y80" s="192">
        <f t="shared" si="18"/>
        <v>5.9316518913136509</v>
      </c>
      <c r="Z80" s="192">
        <f t="shared" si="19"/>
        <v>3.7323978507517319</v>
      </c>
      <c r="AA80" s="192">
        <f t="shared" si="20"/>
        <v>-16.394272043948604</v>
      </c>
      <c r="AB80" s="192">
        <f t="shared" si="21"/>
        <v>0.71260671435180611</v>
      </c>
      <c r="AC80" s="192">
        <f t="shared" si="22"/>
        <v>-1.4149529329557375E-5</v>
      </c>
      <c r="AD80" s="192">
        <f t="shared" si="23"/>
        <v>1.1769894471989717</v>
      </c>
    </row>
    <row r="81" spans="2:30" x14ac:dyDescent="0.2">
      <c r="B81" s="45">
        <v>7200</v>
      </c>
      <c r="C81" s="198">
        <v>1.8165446432655423</v>
      </c>
      <c r="D81" s="198">
        <v>10.901820909720522</v>
      </c>
      <c r="E81" s="45">
        <v>0.41486000000000001</v>
      </c>
      <c r="F81" s="45">
        <v>0.73224999999999996</v>
      </c>
      <c r="G81" s="45">
        <v>11172.74360265728</v>
      </c>
      <c r="H81" s="45">
        <v>0.47320652437832872</v>
      </c>
      <c r="I81" s="45">
        <v>1.1061230488835607</v>
      </c>
      <c r="J81" s="45">
        <v>0.46688533785108849</v>
      </c>
      <c r="K81" s="45">
        <v>-0.53311466214891157</v>
      </c>
      <c r="L81" s="45">
        <v>-0.48159338291959142</v>
      </c>
      <c r="M81" s="45">
        <v>-0.19667815292472252</v>
      </c>
      <c r="N81" s="45">
        <v>1.1199399999999999</v>
      </c>
      <c r="Q81" s="45">
        <v>5.3309143999999995E-4</v>
      </c>
      <c r="R81" s="45">
        <v>2.9933507444444437E-3</v>
      </c>
      <c r="S81" s="45">
        <v>16.839063474503781</v>
      </c>
      <c r="T81" s="45">
        <v>3.3913884794211126E-2</v>
      </c>
      <c r="V81" s="192">
        <f t="shared" si="16"/>
        <v>0.55049569175593338</v>
      </c>
      <c r="W81" s="192">
        <v>0.24334404153744899</v>
      </c>
      <c r="X81" s="192">
        <f t="shared" si="17"/>
        <v>-0.28844158409788428</v>
      </c>
      <c r="Y81" s="192">
        <f t="shared" si="18"/>
        <v>5.9316518913136509</v>
      </c>
      <c r="Z81" s="192">
        <f t="shared" si="19"/>
        <v>3.7323978507517319</v>
      </c>
      <c r="AA81" s="192">
        <f t="shared" si="20"/>
        <v>-16.394272043948604</v>
      </c>
      <c r="AB81" s="192">
        <f t="shared" si="21"/>
        <v>0.72358895425319114</v>
      </c>
      <c r="AC81" s="192">
        <f t="shared" si="22"/>
        <v>-1.5161732516311144E-5</v>
      </c>
      <c r="AD81" s="192">
        <f t="shared" si="23"/>
        <v>1.1853242112504945</v>
      </c>
    </row>
    <row r="82" spans="2:30" x14ac:dyDescent="0.2">
      <c r="B82" s="45">
        <v>7300</v>
      </c>
      <c r="C82" s="198">
        <v>1.8165446432655423</v>
      </c>
      <c r="D82" s="198">
        <v>11.053235089022195</v>
      </c>
      <c r="E82" s="45">
        <v>0.41486000000000001</v>
      </c>
      <c r="F82" s="45">
        <v>0.73224999999999996</v>
      </c>
      <c r="G82" s="45">
        <v>11172.74360265728</v>
      </c>
      <c r="H82" s="45">
        <v>0.47320652437832872</v>
      </c>
      <c r="I82" s="45">
        <v>1.1214858690069434</v>
      </c>
      <c r="J82" s="45">
        <v>0.47336985643235363</v>
      </c>
      <c r="K82" s="45">
        <v>-0.52663014356764637</v>
      </c>
      <c r="L82" s="45">
        <v>-0.49749090679412522</v>
      </c>
      <c r="M82" s="45">
        <v>-0.20072632983371222</v>
      </c>
      <c r="N82" s="45">
        <v>1.12646</v>
      </c>
      <c r="Q82" s="45">
        <v>5.2884982356164387E-4</v>
      </c>
      <c r="R82" s="45">
        <v>2.9695337315068489E-3</v>
      </c>
      <c r="S82" s="45">
        <v>16.97412043256222</v>
      </c>
      <c r="T82" s="45">
        <v>3.4241030997605816E-2</v>
      </c>
      <c r="V82" s="192">
        <f t="shared" si="16"/>
        <v>0.55049569175593338</v>
      </c>
      <c r="W82" s="192">
        <v>0.24499611810138042</v>
      </c>
      <c r="X82" s="192">
        <f t="shared" si="17"/>
        <v>-0.2924477172103549</v>
      </c>
      <c r="Y82" s="192">
        <f t="shared" si="18"/>
        <v>5.9316518913136509</v>
      </c>
      <c r="Z82" s="192">
        <f t="shared" si="19"/>
        <v>3.7323978507517319</v>
      </c>
      <c r="AA82" s="192">
        <f t="shared" si="20"/>
        <v>-16.394272043948604</v>
      </c>
      <c r="AB82" s="192">
        <f t="shared" si="21"/>
        <v>0.73452568713277622</v>
      </c>
      <c r="AC82" s="192">
        <f t="shared" si="22"/>
        <v>-1.6154400503287647E-5</v>
      </c>
      <c r="AD82" s="192">
        <f t="shared" si="23"/>
        <v>1.1936830651714196</v>
      </c>
    </row>
    <row r="83" spans="2:30" x14ac:dyDescent="0.2">
      <c r="B83" s="45">
        <v>7400</v>
      </c>
      <c r="C83" s="198">
        <v>1.8165446432655423</v>
      </c>
      <c r="D83" s="198">
        <v>11.20464926832387</v>
      </c>
      <c r="E83" s="45">
        <v>0.41486000000000001</v>
      </c>
      <c r="F83" s="45">
        <v>0.73224999999999996</v>
      </c>
      <c r="G83" s="45">
        <v>11172.74360265728</v>
      </c>
      <c r="H83" s="45">
        <v>0.47320652437832872</v>
      </c>
      <c r="I83" s="45">
        <v>1.1368486891303262</v>
      </c>
      <c r="J83" s="45">
        <v>0.47985437501361877</v>
      </c>
      <c r="K83" s="45">
        <v>-0.52014562498638117</v>
      </c>
      <c r="L83" s="45">
        <v>-0.51364072455604337</v>
      </c>
      <c r="M83" s="45">
        <v>-0.2047702214440919</v>
      </c>
      <c r="N83" s="45">
        <v>1.133</v>
      </c>
      <c r="Q83" s="45">
        <v>5.2473210810810816E-4</v>
      </c>
      <c r="R83" s="45">
        <v>2.9464124324324326E-3</v>
      </c>
      <c r="S83" s="45">
        <v>17.107320968483947</v>
      </c>
      <c r="T83" s="45">
        <v>3.4567586124272569E-2</v>
      </c>
      <c r="V83" s="192">
        <f t="shared" si="16"/>
        <v>0.55049569175593338</v>
      </c>
      <c r="W83" s="192">
        <v>0.24662062949740821</v>
      </c>
      <c r="X83" s="192">
        <f t="shared" si="17"/>
        <v>-0.29645385032282551</v>
      </c>
      <c r="Y83" s="192">
        <f t="shared" si="18"/>
        <v>5.9316518913136509</v>
      </c>
      <c r="Z83" s="192">
        <f t="shared" si="19"/>
        <v>3.7323978507517319</v>
      </c>
      <c r="AA83" s="192">
        <f t="shared" si="20"/>
        <v>-16.394272043948604</v>
      </c>
      <c r="AB83" s="192">
        <f t="shared" si="21"/>
        <v>0.74541727069925123</v>
      </c>
      <c r="AC83" s="192">
        <f t="shared" si="22"/>
        <v>-1.7127807156111508E-5</v>
      </c>
      <c r="AD83" s="192">
        <f t="shared" si="23"/>
        <v>1.2020642836204463</v>
      </c>
    </row>
    <row r="84" spans="2:30" x14ac:dyDescent="0.2">
      <c r="B84" s="45">
        <v>7500</v>
      </c>
      <c r="C84" s="198">
        <v>1.8165446432655423</v>
      </c>
      <c r="D84" s="198">
        <v>11.356063447625543</v>
      </c>
      <c r="E84" s="45">
        <v>0.41486000000000001</v>
      </c>
      <c r="F84" s="45">
        <v>0.73224999999999996</v>
      </c>
      <c r="G84" s="45">
        <v>11172.74360265728</v>
      </c>
      <c r="H84" s="45">
        <v>0.47320652437832872</v>
      </c>
      <c r="I84" s="45">
        <v>1.1522115092537091</v>
      </c>
      <c r="J84" s="45">
        <v>0.48633889359488386</v>
      </c>
      <c r="K84" s="45">
        <v>-0.5136611064051162</v>
      </c>
      <c r="L84" s="45">
        <v>-0.53004283620534598</v>
      </c>
      <c r="M84" s="45">
        <v>-0.20880819175146079</v>
      </c>
      <c r="N84" s="45">
        <v>1.13958</v>
      </c>
      <c r="Q84" s="45">
        <v>5.2074247680000002E-4</v>
      </c>
      <c r="R84" s="45">
        <v>2.9240103359999998E-3</v>
      </c>
      <c r="S84" s="45">
        <v>17.238387486723692</v>
      </c>
      <c r="T84" s="45">
        <v>3.4892742249052706E-2</v>
      </c>
      <c r="V84" s="192">
        <f t="shared" si="16"/>
        <v>0.55049569175593338</v>
      </c>
      <c r="W84" s="192">
        <v>0.24821839049297278</v>
      </c>
      <c r="X84" s="192">
        <f t="shared" si="17"/>
        <v>-0.30045998343529612</v>
      </c>
      <c r="Y84" s="192">
        <f t="shared" si="18"/>
        <v>5.9316518913136509</v>
      </c>
      <c r="Z84" s="192">
        <f t="shared" si="19"/>
        <v>3.7323978507517319</v>
      </c>
      <c r="AA84" s="192">
        <f t="shared" si="20"/>
        <v>-16.394272043948604</v>
      </c>
      <c r="AB84" s="192">
        <f t="shared" si="21"/>
        <v>0.75626408608385531</v>
      </c>
      <c r="AC84" s="192">
        <f t="shared" si="22"/>
        <v>-1.8082252437476298E-5</v>
      </c>
      <c r="AD84" s="192">
        <f t="shared" si="23"/>
        <v>1.2104662464314961</v>
      </c>
    </row>
    <row r="85" spans="2:30" x14ac:dyDescent="0.2">
      <c r="B85" s="45">
        <v>7600</v>
      </c>
      <c r="C85" s="198">
        <v>1.8165446432655423</v>
      </c>
      <c r="D85" s="198">
        <v>11.507477626927217</v>
      </c>
      <c r="E85" s="45">
        <v>0.41486000000000001</v>
      </c>
      <c r="F85" s="45">
        <v>0.73224999999999996</v>
      </c>
      <c r="G85" s="45">
        <v>11172.74360265728</v>
      </c>
      <c r="H85" s="45">
        <v>0.47320652437832872</v>
      </c>
      <c r="I85" s="45">
        <v>1.1675743293770917</v>
      </c>
      <c r="J85" s="45">
        <v>0.49282341217614895</v>
      </c>
      <c r="K85" s="45">
        <v>-0.507176587823851</v>
      </c>
      <c r="L85" s="45">
        <v>-0.54669724174203338</v>
      </c>
      <c r="M85" s="45">
        <v>-0.21283860475141803</v>
      </c>
      <c r="N85" s="45">
        <v>1.1461699999999999</v>
      </c>
      <c r="Q85" s="45">
        <v>5.1686234526315789E-4</v>
      </c>
      <c r="R85" s="45">
        <v>2.9022230894736839E-3</v>
      </c>
      <c r="S85" s="45">
        <v>17.367797592808103</v>
      </c>
      <c r="T85" s="45">
        <v>3.521756464267093E-2</v>
      </c>
      <c r="V85" s="192">
        <f t="shared" si="16"/>
        <v>0.55049569175593338</v>
      </c>
      <c r="W85" s="192">
        <v>0.24979018458629987</v>
      </c>
      <c r="X85" s="192">
        <f t="shared" si="17"/>
        <v>-0.30446611654776679</v>
      </c>
      <c r="Y85" s="192">
        <f t="shared" si="18"/>
        <v>5.9316518913136509</v>
      </c>
      <c r="Z85" s="192">
        <f t="shared" si="19"/>
        <v>3.7323978507517319</v>
      </c>
      <c r="AA85" s="192">
        <f t="shared" si="20"/>
        <v>-16.394272043948604</v>
      </c>
      <c r="AB85" s="192">
        <f t="shared" si="21"/>
        <v>0.76706653446659268</v>
      </c>
      <c r="AC85" s="192">
        <f t="shared" si="22"/>
        <v>-1.9018057401357091E-5</v>
      </c>
      <c r="AD85" s="192">
        <f t="shared" si="23"/>
        <v>1.2188874316739895</v>
      </c>
    </row>
    <row r="86" spans="2:30" x14ac:dyDescent="0.2">
      <c r="B86" s="45">
        <v>7700</v>
      </c>
      <c r="C86" s="198">
        <v>1.8165446432655423</v>
      </c>
      <c r="D86" s="198">
        <v>11.658891806228892</v>
      </c>
      <c r="E86" s="45">
        <v>0.41486000000000001</v>
      </c>
      <c r="F86" s="45">
        <v>0.73224999999999996</v>
      </c>
      <c r="G86" s="45">
        <v>11172.74360265728</v>
      </c>
      <c r="H86" s="45">
        <v>0.47320652437832872</v>
      </c>
      <c r="I86" s="45">
        <v>1.1829371495004746</v>
      </c>
      <c r="J86" s="45">
        <v>0.49930793075741409</v>
      </c>
      <c r="K86" s="45">
        <v>-0.50069206924258591</v>
      </c>
      <c r="L86" s="45">
        <v>-0.56360394116610546</v>
      </c>
      <c r="M86" s="45">
        <v>-0.21685982443956314</v>
      </c>
      <c r="N86" s="45">
        <v>1.1527799999999999</v>
      </c>
      <c r="Q86" s="45">
        <v>5.1309189818181812E-4</v>
      </c>
      <c r="R86" s="45">
        <v>2.88105172987013E-3</v>
      </c>
      <c r="S86" s="45">
        <v>17.495424557831623</v>
      </c>
      <c r="T86" s="45">
        <v>3.5541629966746174E-2</v>
      </c>
      <c r="V86" s="192">
        <f t="shared" si="16"/>
        <v>0.55049569175593338</v>
      </c>
      <c r="W86" s="192">
        <v>0.25133676530369908</v>
      </c>
      <c r="X86" s="192">
        <f t="shared" si="17"/>
        <v>-0.30847224966023734</v>
      </c>
      <c r="Y86" s="192">
        <f t="shared" si="18"/>
        <v>5.9316518913136509</v>
      </c>
      <c r="Z86" s="192">
        <f t="shared" si="19"/>
        <v>3.7323978507517319</v>
      </c>
      <c r="AA86" s="192">
        <f t="shared" si="20"/>
        <v>-16.394272043948604</v>
      </c>
      <c r="AB86" s="192">
        <f t="shared" si="21"/>
        <v>0.7778250340543561</v>
      </c>
      <c r="AC86" s="192">
        <f t="shared" si="22"/>
        <v>-1.993555984765305E-5</v>
      </c>
      <c r="AD86" s="192">
        <f t="shared" si="23"/>
        <v>1.2273264092004186</v>
      </c>
    </row>
    <row r="87" spans="2:30" x14ac:dyDescent="0.2">
      <c r="B87" s="45">
        <v>7800</v>
      </c>
      <c r="C87" s="198">
        <v>1.8165446432655423</v>
      </c>
      <c r="D87" s="198">
        <v>11.810305985530565</v>
      </c>
      <c r="E87" s="45">
        <v>0.41486000000000001</v>
      </c>
      <c r="F87" s="45">
        <v>0.73224999999999996</v>
      </c>
      <c r="G87" s="45">
        <v>11172.74360265728</v>
      </c>
      <c r="H87" s="45">
        <v>0.47320652437832872</v>
      </c>
      <c r="I87" s="45">
        <v>1.1982999696238574</v>
      </c>
      <c r="J87" s="45">
        <v>0.50579244933867917</v>
      </c>
      <c r="K87" s="45">
        <v>-0.49420755066132083</v>
      </c>
      <c r="L87" s="45">
        <v>-0.580762934477562</v>
      </c>
      <c r="M87" s="45">
        <v>-0.22087021481149538</v>
      </c>
      <c r="N87" s="45">
        <v>1.1594199999999999</v>
      </c>
      <c r="Q87" s="45">
        <v>5.0943131076923074E-4</v>
      </c>
      <c r="R87" s="45">
        <v>2.8604972410256405E-3</v>
      </c>
      <c r="S87" s="45">
        <v>17.621140291357239</v>
      </c>
      <c r="T87" s="45">
        <v>3.5864495647410802E-2</v>
      </c>
      <c r="V87" s="192">
        <f t="shared" si="16"/>
        <v>0.55049569175593338</v>
      </c>
      <c r="W87" s="192">
        <v>0.25285885745520248</v>
      </c>
      <c r="X87" s="192">
        <f t="shared" si="17"/>
        <v>-0.31247838277270795</v>
      </c>
      <c r="Y87" s="192">
        <f t="shared" si="18"/>
        <v>5.9316518913136509</v>
      </c>
      <c r="Z87" s="192">
        <f t="shared" si="19"/>
        <v>3.7323978507517319</v>
      </c>
      <c r="AA87" s="192">
        <f t="shared" si="20"/>
        <v>-16.394272043948604</v>
      </c>
      <c r="AB87" s="192">
        <f t="shared" si="21"/>
        <v>0.78854001737608692</v>
      </c>
      <c r="AC87" s="192">
        <f t="shared" si="22"/>
        <v>-2.08351105433352E-5</v>
      </c>
      <c r="AD87" s="192">
        <f t="shared" si="23"/>
        <v>1.2357818346468956</v>
      </c>
    </row>
    <row r="88" spans="2:30" x14ac:dyDescent="0.2">
      <c r="B88" s="45">
        <v>7900</v>
      </c>
      <c r="C88" s="198">
        <v>1.8165446432655423</v>
      </c>
      <c r="D88" s="198">
        <v>11.96172016483224</v>
      </c>
      <c r="E88" s="45">
        <v>0.41486000000000001</v>
      </c>
      <c r="F88" s="45">
        <v>0.73224999999999996</v>
      </c>
      <c r="G88" s="45">
        <v>11172.74360265728</v>
      </c>
      <c r="H88" s="45">
        <v>0.47320652437832872</v>
      </c>
      <c r="I88" s="45">
        <v>1.2136627897472403</v>
      </c>
      <c r="J88" s="45">
        <v>0.51227696791994426</v>
      </c>
      <c r="K88" s="45">
        <v>-0.48772303208005574</v>
      </c>
      <c r="L88" s="45">
        <v>-0.598174221676403</v>
      </c>
      <c r="M88" s="45">
        <v>-0.22486813986281406</v>
      </c>
      <c r="N88" s="45">
        <v>1.16608</v>
      </c>
      <c r="Q88" s="45">
        <v>5.058720729113924E-4</v>
      </c>
      <c r="R88" s="45">
        <v>2.8405118379746831E-3</v>
      </c>
      <c r="S88" s="45">
        <v>17.74511991581511</v>
      </c>
      <c r="T88" s="45">
        <v>3.6186495283460351E-2</v>
      </c>
      <c r="V88" s="192">
        <f t="shared" si="16"/>
        <v>0.55049569175593338</v>
      </c>
      <c r="W88" s="192">
        <v>0.25435715834703548</v>
      </c>
      <c r="X88" s="192">
        <f t="shared" si="17"/>
        <v>-0.31648451588517862</v>
      </c>
      <c r="Y88" s="192">
        <f t="shared" si="18"/>
        <v>5.9316518913136509</v>
      </c>
      <c r="Z88" s="192">
        <f t="shared" si="19"/>
        <v>3.7323978507517319</v>
      </c>
      <c r="AA88" s="192">
        <f t="shared" si="20"/>
        <v>-16.394272043948604</v>
      </c>
      <c r="AB88" s="192">
        <f t="shared" si="21"/>
        <v>0.79921192886342651</v>
      </c>
      <c r="AC88" s="192">
        <f t="shared" si="22"/>
        <v>-2.1717069951326939E-5</v>
      </c>
      <c r="AD88" s="192">
        <f t="shared" si="23"/>
        <v>1.2442524438544751</v>
      </c>
    </row>
    <row r="89" spans="2:30" x14ac:dyDescent="0.2">
      <c r="B89" s="45">
        <v>8000</v>
      </c>
      <c r="C89" s="198">
        <v>1.8165446432655423</v>
      </c>
      <c r="D89" s="198">
        <v>12.113134344133913</v>
      </c>
      <c r="E89" s="45">
        <v>0.41486000000000001</v>
      </c>
      <c r="F89" s="45">
        <v>0.73224999999999996</v>
      </c>
      <c r="G89" s="45">
        <v>11172.74360265728</v>
      </c>
      <c r="H89" s="45">
        <v>0.47320652437832872</v>
      </c>
      <c r="I89" s="45">
        <v>1.2290256098706231</v>
      </c>
      <c r="J89" s="45">
        <v>0.51876148650120946</v>
      </c>
      <c r="K89" s="45">
        <v>-0.48123851349879054</v>
      </c>
      <c r="L89" s="45">
        <v>-0.61583780276262923</v>
      </c>
      <c r="M89" s="45">
        <v>-0.22885196358911841</v>
      </c>
      <c r="N89" s="45">
        <v>1.17275</v>
      </c>
      <c r="Q89" s="45">
        <v>5.0240609999999998E-4</v>
      </c>
      <c r="R89" s="45">
        <v>2.8210501249999998E-3</v>
      </c>
      <c r="S89" s="45">
        <v>17.867539020474915</v>
      </c>
      <c r="T89" s="45">
        <v>3.6507983148779788E-2</v>
      </c>
      <c r="V89" s="192">
        <f t="shared" si="16"/>
        <v>0.55049569175593338</v>
      </c>
      <c r="W89" s="192">
        <v>0.25583233895005875</v>
      </c>
      <c r="X89" s="192">
        <f t="shared" si="17"/>
        <v>-0.32049064899764917</v>
      </c>
      <c r="Y89" s="192">
        <f t="shared" si="18"/>
        <v>5.9316518913136509</v>
      </c>
      <c r="Z89" s="192">
        <f t="shared" si="19"/>
        <v>3.7323978507517319</v>
      </c>
      <c r="AA89" s="192">
        <f t="shared" si="20"/>
        <v>-16.394272043948604</v>
      </c>
      <c r="AB89" s="192">
        <f t="shared" si="21"/>
        <v>0.80984122268841019</v>
      </c>
      <c r="AC89" s="192">
        <f t="shared" si="22"/>
        <v>-2.2581805402738242E-5</v>
      </c>
      <c r="AD89" s="192">
        <f t="shared" si="23"/>
        <v>1.2527370476811082</v>
      </c>
    </row>
    <row r="90" spans="2:30" x14ac:dyDescent="0.2">
      <c r="B90" s="45">
        <v>8100</v>
      </c>
      <c r="C90" s="198">
        <v>1.8165446432655423</v>
      </c>
      <c r="D90" s="198">
        <v>12.264548523435588</v>
      </c>
      <c r="E90" s="45">
        <v>0.41486000000000001</v>
      </c>
      <c r="F90" s="45">
        <v>0.73224999999999996</v>
      </c>
      <c r="G90" s="45">
        <v>11172.74360265728</v>
      </c>
      <c r="H90" s="45">
        <v>0.47320652437832872</v>
      </c>
      <c r="I90" s="45">
        <v>1.2443884299940058</v>
      </c>
      <c r="J90" s="45">
        <v>0.52524600508247454</v>
      </c>
      <c r="K90" s="45">
        <v>-0.47475399491752546</v>
      </c>
      <c r="L90" s="45">
        <v>-0.63375367773623992</v>
      </c>
      <c r="M90" s="45">
        <v>-0.23282004998600775</v>
      </c>
      <c r="N90" s="45">
        <v>1.1794500000000001</v>
      </c>
      <c r="Q90" s="45">
        <v>4.9903840000000007E-4</v>
      </c>
      <c r="R90" s="45">
        <v>2.8021402222222227E-3</v>
      </c>
      <c r="S90" s="45">
        <v>17.988115936317971</v>
      </c>
      <c r="T90" s="45">
        <v>3.6828112337836491E-2</v>
      </c>
      <c r="V90" s="192">
        <f t="shared" si="16"/>
        <v>0.55049569175593338</v>
      </c>
      <c r="W90" s="192">
        <v>0.25728504502384375</v>
      </c>
      <c r="X90" s="192">
        <f t="shared" si="17"/>
        <v>-0.32449678211011984</v>
      </c>
      <c r="Y90" s="192">
        <f t="shared" si="18"/>
        <v>5.9316518913136509</v>
      </c>
      <c r="Z90" s="192">
        <f t="shared" si="19"/>
        <v>3.7323978507517319</v>
      </c>
      <c r="AA90" s="192">
        <f t="shared" si="20"/>
        <v>-16.394272043948604</v>
      </c>
      <c r="AB90" s="192">
        <f t="shared" si="21"/>
        <v>0.82042836083253856</v>
      </c>
      <c r="AC90" s="192">
        <f t="shared" si="22"/>
        <v>-2.3429688662784942E-5</v>
      </c>
      <c r="AD90" s="192">
        <f t="shared" si="23"/>
        <v>1.2612345271760637</v>
      </c>
    </row>
    <row r="91" spans="2:30" x14ac:dyDescent="0.2">
      <c r="B91" s="45">
        <v>8200</v>
      </c>
      <c r="C91" s="198">
        <v>1.8165446432655423</v>
      </c>
      <c r="D91" s="198">
        <v>12.415962702737261</v>
      </c>
      <c r="E91" s="45">
        <v>0.41486000000000001</v>
      </c>
      <c r="F91" s="45">
        <v>0.73224999999999996</v>
      </c>
      <c r="G91" s="45">
        <v>11172.74360265728</v>
      </c>
      <c r="H91" s="45">
        <v>0.47320652437832872</v>
      </c>
      <c r="I91" s="45">
        <v>1.2597512501173886</v>
      </c>
      <c r="J91" s="45">
        <v>0.53173052366373963</v>
      </c>
      <c r="K91" s="45">
        <v>-0.46826947633626037</v>
      </c>
      <c r="L91" s="45">
        <v>-0.65192184659723484</v>
      </c>
      <c r="M91" s="45">
        <v>-0.23677076304908162</v>
      </c>
      <c r="N91" s="45">
        <v>1.1861600000000001</v>
      </c>
      <c r="Q91" s="45">
        <v>4.9575701853658545E-4</v>
      </c>
      <c r="R91" s="45">
        <v>2.7837150048780489E-3</v>
      </c>
      <c r="S91" s="45">
        <v>18.107178033248893</v>
      </c>
      <c r="T91" s="45">
        <v>3.7147646008904481E-2</v>
      </c>
      <c r="V91" s="192">
        <f t="shared" si="16"/>
        <v>0.55049569175593338</v>
      </c>
      <c r="W91" s="192">
        <v>0.25871589819646862</v>
      </c>
      <c r="X91" s="192">
        <f t="shared" si="17"/>
        <v>-0.32850291522259045</v>
      </c>
      <c r="Y91" s="192">
        <f t="shared" si="18"/>
        <v>5.9316518913136509</v>
      </c>
      <c r="Z91" s="192">
        <f t="shared" si="19"/>
        <v>3.7323978507517319</v>
      </c>
      <c r="AA91" s="192">
        <f t="shared" si="20"/>
        <v>-16.394272043948604</v>
      </c>
      <c r="AB91" s="192">
        <f t="shared" si="21"/>
        <v>0.8309738113640831</v>
      </c>
      <c r="AC91" s="192">
        <f t="shared" si="22"/>
        <v>-2.4261093835020731E-5</v>
      </c>
      <c r="AD91" s="192">
        <f t="shared" si="23"/>
        <v>1.2697438290905712</v>
      </c>
    </row>
    <row r="92" spans="2:30" x14ac:dyDescent="0.2">
      <c r="B92" s="45">
        <v>8300</v>
      </c>
      <c r="C92" s="198">
        <v>1.8165446432655423</v>
      </c>
      <c r="D92" s="198">
        <v>12.567376882038936</v>
      </c>
      <c r="E92" s="45">
        <v>0.41486000000000001</v>
      </c>
      <c r="F92" s="45">
        <v>0.73224999999999996</v>
      </c>
      <c r="G92" s="45">
        <v>11172.74360265728</v>
      </c>
      <c r="H92" s="45">
        <v>0.47320652437832872</v>
      </c>
      <c r="I92" s="45">
        <v>1.2751140702407713</v>
      </c>
      <c r="J92" s="45">
        <v>0.53821504224500483</v>
      </c>
      <c r="K92" s="45">
        <v>-0.46178495775499517</v>
      </c>
      <c r="L92" s="45">
        <v>-0.67034230934561534</v>
      </c>
      <c r="M92" s="45">
        <v>-0.24070246677393892</v>
      </c>
      <c r="N92" s="45">
        <v>1.19289</v>
      </c>
      <c r="Q92" s="45">
        <v>4.925629648192772E-4</v>
      </c>
      <c r="R92" s="45">
        <v>2.7657801397590357E-3</v>
      </c>
      <c r="S92" s="45">
        <v>18.224595101599295</v>
      </c>
      <c r="T92" s="45">
        <v>3.7466136462504414E-2</v>
      </c>
      <c r="V92" s="192">
        <f t="shared" si="16"/>
        <v>0.55049569175593338</v>
      </c>
      <c r="W92" s="192">
        <v>0.26012549700046228</v>
      </c>
      <c r="X92" s="192">
        <f t="shared" si="17"/>
        <v>-0.33250904833506106</v>
      </c>
      <c r="Y92" s="192">
        <f t="shared" si="18"/>
        <v>5.9316518913136509</v>
      </c>
      <c r="Z92" s="192">
        <f t="shared" si="19"/>
        <v>3.7323978507517319</v>
      </c>
      <c r="AA92" s="192">
        <f t="shared" si="20"/>
        <v>-16.394272043948604</v>
      </c>
      <c r="AB92" s="192">
        <f t="shared" si="21"/>
        <v>0.84147804690276495</v>
      </c>
      <c r="AC92" s="192">
        <f t="shared" si="22"/>
        <v>-2.507639556927066E-5</v>
      </c>
      <c r="AD92" s="192">
        <f t="shared" si="23"/>
        <v>1.278263961700264</v>
      </c>
    </row>
    <row r="93" spans="2:30" x14ac:dyDescent="0.2">
      <c r="B93" s="45">
        <v>8400</v>
      </c>
      <c r="C93" s="198">
        <v>1.8165446432655423</v>
      </c>
      <c r="D93" s="198">
        <v>12.718791061340609</v>
      </c>
      <c r="E93" s="45">
        <v>0.41486000000000001</v>
      </c>
      <c r="F93" s="45">
        <v>0.73224999999999996</v>
      </c>
      <c r="G93" s="45">
        <v>11172.74360265728</v>
      </c>
      <c r="H93" s="45">
        <v>0.47320652437832872</v>
      </c>
      <c r="I93" s="45">
        <v>1.2904768903641541</v>
      </c>
      <c r="J93" s="45">
        <v>0.54469956082626991</v>
      </c>
      <c r="K93" s="45">
        <v>-0.45530043917373009</v>
      </c>
      <c r="L93" s="45">
        <v>-0.68901506598137963</v>
      </c>
      <c r="M93" s="45">
        <v>-0.24461352515617943</v>
      </c>
      <c r="N93" s="45">
        <v>1.19963</v>
      </c>
      <c r="Q93" s="45">
        <v>4.8944904000000004E-4</v>
      </c>
      <c r="R93" s="45">
        <v>2.7482952047619045E-3</v>
      </c>
      <c r="S93" s="45">
        <v>18.340541838379384</v>
      </c>
      <c r="T93" s="45">
        <v>3.778396049752062E-2</v>
      </c>
      <c r="V93" s="192">
        <f t="shared" si="16"/>
        <v>0.55049569175593338</v>
      </c>
      <c r="W93" s="192">
        <v>0.26151441786559615</v>
      </c>
      <c r="X93" s="192">
        <f t="shared" si="17"/>
        <v>-0.33651518144753167</v>
      </c>
      <c r="Y93" s="192">
        <f t="shared" si="18"/>
        <v>5.9316518913136509</v>
      </c>
      <c r="Z93" s="192">
        <f t="shared" si="19"/>
        <v>3.7323978507517319</v>
      </c>
      <c r="AA93" s="192">
        <f t="shared" si="20"/>
        <v>-16.394272043948604</v>
      </c>
      <c r="AB93" s="192">
        <f t="shared" si="21"/>
        <v>0.85194154325301341</v>
      </c>
      <c r="AC93" s="192">
        <f t="shared" si="22"/>
        <v>-2.5875967538918632E-5</v>
      </c>
      <c r="AD93" s="192">
        <f t="shared" si="23"/>
        <v>1.2867939909167139</v>
      </c>
    </row>
    <row r="94" spans="2:30" x14ac:dyDescent="0.2">
      <c r="B94" s="45">
        <v>8500</v>
      </c>
      <c r="C94" s="198">
        <v>1.8165446432655423</v>
      </c>
      <c r="D94" s="198">
        <v>12.870205240642283</v>
      </c>
      <c r="E94" s="45">
        <v>0.41486000000000001</v>
      </c>
      <c r="F94" s="45">
        <v>0.73224999999999996</v>
      </c>
      <c r="G94" s="45">
        <v>11172.74360265728</v>
      </c>
      <c r="H94" s="45">
        <v>0.47320652437832872</v>
      </c>
      <c r="I94" s="45">
        <v>1.3058397104875368</v>
      </c>
      <c r="J94" s="45">
        <v>0.551184079407535</v>
      </c>
      <c r="K94" s="45">
        <v>-0.448815920592465</v>
      </c>
      <c r="L94" s="45">
        <v>-0.7079401165045287</v>
      </c>
      <c r="M94" s="45">
        <v>-0.24850230219140215</v>
      </c>
      <c r="N94" s="45">
        <v>1.2063900000000001</v>
      </c>
      <c r="Q94" s="45">
        <v>4.8641644800000004E-4</v>
      </c>
      <c r="R94" s="45">
        <v>2.7312669600000001E-3</v>
      </c>
      <c r="S94" s="45">
        <v>18.45488702691777</v>
      </c>
      <c r="T94" s="45">
        <v>3.8100662539100071E-2</v>
      </c>
      <c r="V94" s="192">
        <f t="shared" si="16"/>
        <v>0.55049569175593338</v>
      </c>
      <c r="W94" s="192">
        <v>0.26288321606943466</v>
      </c>
      <c r="X94" s="192">
        <f t="shared" si="17"/>
        <v>-0.34052131456000229</v>
      </c>
      <c r="Y94" s="192">
        <f t="shared" si="18"/>
        <v>5.9316518913136509</v>
      </c>
      <c r="Z94" s="192">
        <f t="shared" si="19"/>
        <v>3.7323978507517319</v>
      </c>
      <c r="AA94" s="192">
        <f t="shared" si="20"/>
        <v>-16.394272043948604</v>
      </c>
      <c r="AB94" s="192">
        <f t="shared" si="21"/>
        <v>0.8623647781888939</v>
      </c>
      <c r="AC94" s="192">
        <f t="shared" si="22"/>
        <v>-2.6660181138449257E-5</v>
      </c>
      <c r="AD94" s="192">
        <f t="shared" si="23"/>
        <v>1.2953330366669786</v>
      </c>
    </row>
    <row r="95" spans="2:30" x14ac:dyDescent="0.2">
      <c r="B95" s="45">
        <v>8600</v>
      </c>
      <c r="C95" s="198">
        <v>1.8165446432655423</v>
      </c>
      <c r="D95" s="198">
        <v>13.021619419943956</v>
      </c>
      <c r="E95" s="45">
        <v>0.41486000000000001</v>
      </c>
      <c r="F95" s="45">
        <v>0.73224999999999996</v>
      </c>
      <c r="G95" s="45">
        <v>11172.74360265728</v>
      </c>
      <c r="H95" s="45">
        <v>0.47320652437832872</v>
      </c>
      <c r="I95" s="45">
        <v>1.3212025306109196</v>
      </c>
      <c r="J95" s="45">
        <v>0.5576685979888002</v>
      </c>
      <c r="K95" s="45">
        <v>-0.4423314020111998</v>
      </c>
      <c r="L95" s="45">
        <v>-0.72711746091506291</v>
      </c>
      <c r="M95" s="45">
        <v>-0.25236716187520647</v>
      </c>
      <c r="N95" s="45">
        <v>1.21316</v>
      </c>
      <c r="Q95" s="45">
        <v>4.8345836651162794E-4</v>
      </c>
      <c r="R95" s="45">
        <v>2.7146570976744186E-3</v>
      </c>
      <c r="S95" s="45">
        <v>18.567804836321347</v>
      </c>
      <c r="T95" s="45">
        <v>3.8416630269215407E-2</v>
      </c>
      <c r="V95" s="192">
        <f t="shared" si="16"/>
        <v>0.55049569175593338</v>
      </c>
      <c r="W95" s="192">
        <v>0.26423242664671548</v>
      </c>
      <c r="X95" s="192">
        <f t="shared" si="17"/>
        <v>-0.3445274476724729</v>
      </c>
      <c r="Y95" s="192">
        <f t="shared" si="18"/>
        <v>5.9316518913136509</v>
      </c>
      <c r="Z95" s="192">
        <f t="shared" si="19"/>
        <v>3.7323978507517319</v>
      </c>
      <c r="AA95" s="192">
        <f t="shared" si="20"/>
        <v>-16.394272043948604</v>
      </c>
      <c r="AB95" s="192">
        <f t="shared" si="21"/>
        <v>0.87274823037543325</v>
      </c>
      <c r="AC95" s="192">
        <f t="shared" si="22"/>
        <v>-2.7429404394208046E-5</v>
      </c>
      <c r="AD95" s="192">
        <f t="shared" si="23"/>
        <v>1.3038802695216269</v>
      </c>
    </row>
    <row r="96" spans="2:30" x14ac:dyDescent="0.2">
      <c r="B96" s="45">
        <v>8700</v>
      </c>
      <c r="C96" s="198">
        <v>1.8165446432655423</v>
      </c>
      <c r="D96" s="198">
        <v>13.173033599245631</v>
      </c>
      <c r="E96" s="45">
        <v>0.41486000000000001</v>
      </c>
      <c r="F96" s="45">
        <v>0.73224999999999996</v>
      </c>
      <c r="G96" s="45">
        <v>11172.74360265728</v>
      </c>
      <c r="H96" s="45">
        <v>0.47320652437832872</v>
      </c>
      <c r="I96" s="45">
        <v>1.3365653507343025</v>
      </c>
      <c r="J96" s="45">
        <v>0.56415311657006528</v>
      </c>
      <c r="K96" s="45">
        <v>-0.43584688342993472</v>
      </c>
      <c r="L96" s="45">
        <v>-0.74654709921298101</v>
      </c>
      <c r="M96" s="45">
        <v>-0.25620646820319187</v>
      </c>
      <c r="N96" s="45">
        <v>1.2199500000000001</v>
      </c>
      <c r="Q96" s="45">
        <v>4.8057616551724143E-4</v>
      </c>
      <c r="R96" s="45">
        <v>2.6984733103448278E-3</v>
      </c>
      <c r="S96" s="45">
        <v>18.6791631378826</v>
      </c>
      <c r="T96" s="45">
        <v>3.8731400413800854E-2</v>
      </c>
      <c r="V96" s="192">
        <f t="shared" si="16"/>
        <v>0.55049569175593338</v>
      </c>
      <c r="W96" s="192">
        <v>0.26556256525875582</v>
      </c>
      <c r="X96" s="192">
        <f t="shared" si="17"/>
        <v>-0.34853358078494356</v>
      </c>
      <c r="Y96" s="192">
        <f t="shared" si="18"/>
        <v>5.9316518913136509</v>
      </c>
      <c r="Z96" s="192">
        <f t="shared" si="19"/>
        <v>3.7323978507517319</v>
      </c>
      <c r="AA96" s="192">
        <f t="shared" si="20"/>
        <v>-16.394272043948604</v>
      </c>
      <c r="AB96" s="192">
        <f t="shared" si="21"/>
        <v>0.88309237841263588</v>
      </c>
      <c r="AC96" s="192">
        <f t="shared" si="22"/>
        <v>-2.8184001046413498E-5</v>
      </c>
      <c r="AD96" s="192">
        <f t="shared" si="23"/>
        <v>1.3124349075531161</v>
      </c>
    </row>
    <row r="97" spans="2:30" x14ac:dyDescent="0.2">
      <c r="B97" s="45">
        <v>8800</v>
      </c>
      <c r="C97" s="198">
        <v>1.8165446432655423</v>
      </c>
      <c r="D97" s="198">
        <v>13.324447778547304</v>
      </c>
      <c r="E97" s="45">
        <v>0.41486000000000001</v>
      </c>
      <c r="F97" s="45">
        <v>0.73224999999999996</v>
      </c>
      <c r="G97" s="45">
        <v>11172.74360265728</v>
      </c>
      <c r="H97" s="45">
        <v>0.47320652437832872</v>
      </c>
      <c r="I97" s="45">
        <v>1.3519281708576854</v>
      </c>
      <c r="J97" s="45">
        <v>0.57063763515133037</v>
      </c>
      <c r="K97" s="45">
        <v>-0.42936236484866963</v>
      </c>
      <c r="L97" s="45">
        <v>-0.76622903139828391</v>
      </c>
      <c r="M97" s="45">
        <v>-0.26001858517095749</v>
      </c>
      <c r="N97" s="45">
        <v>1.22675</v>
      </c>
      <c r="Q97" s="45">
        <v>4.7776336363636367E-4</v>
      </c>
      <c r="R97" s="45">
        <v>2.6826792045454542E-3</v>
      </c>
      <c r="S97" s="45">
        <v>18.789135540972616</v>
      </c>
      <c r="T97" s="45">
        <v>3.9045371325728384E-2</v>
      </c>
      <c r="V97" s="192">
        <f t="shared" si="16"/>
        <v>0.55049569175593338</v>
      </c>
      <c r="W97" s="192">
        <v>0.26687412902416574</v>
      </c>
      <c r="X97" s="192">
        <f t="shared" si="17"/>
        <v>-0.35253971389741412</v>
      </c>
      <c r="Y97" s="192">
        <f t="shared" si="18"/>
        <v>5.9316518913136509</v>
      </c>
      <c r="Z97" s="192">
        <f t="shared" si="19"/>
        <v>3.7323978507517319</v>
      </c>
      <c r="AA97" s="192">
        <f t="shared" si="20"/>
        <v>-16.394272043948604</v>
      </c>
      <c r="AB97" s="192">
        <f t="shared" si="21"/>
        <v>0.89339769998981766</v>
      </c>
      <c r="AC97" s="192">
        <f t="shared" si="22"/>
        <v>-2.8924329786308989E-5</v>
      </c>
      <c r="AD97" s="192">
        <f t="shared" si="23"/>
        <v>1.3209962134077495</v>
      </c>
    </row>
    <row r="98" spans="2:30" x14ac:dyDescent="0.2">
      <c r="B98" s="45">
        <v>8900</v>
      </c>
      <c r="C98" s="198">
        <v>1.8165446432655423</v>
      </c>
      <c r="D98" s="198">
        <v>13.475861957848979</v>
      </c>
      <c r="E98" s="45">
        <v>0.41486000000000001</v>
      </c>
      <c r="F98" s="45">
        <v>0.73224999999999996</v>
      </c>
      <c r="G98" s="45">
        <v>11172.74360265728</v>
      </c>
      <c r="H98" s="45">
        <v>0.47320652437832872</v>
      </c>
      <c r="I98" s="45">
        <v>1.3672909909810682</v>
      </c>
      <c r="J98" s="45">
        <v>0.57712215373259557</v>
      </c>
      <c r="K98" s="45">
        <v>-0.42287784626740443</v>
      </c>
      <c r="L98" s="45">
        <v>-0.78616325747097204</v>
      </c>
      <c r="M98" s="45">
        <v>-0.26380187677410261</v>
      </c>
      <c r="N98" s="45">
        <v>1.23356</v>
      </c>
      <c r="Q98" s="45">
        <v>4.7501762157303371E-4</v>
      </c>
      <c r="R98" s="45">
        <v>2.6672616449438199E-3</v>
      </c>
      <c r="S98" s="45">
        <v>18.897742290376168</v>
      </c>
      <c r="T98" s="45">
        <v>3.9358516084112644E-2</v>
      </c>
      <c r="V98" s="192">
        <f t="shared" si="16"/>
        <v>0.55049569175593338</v>
      </c>
      <c r="W98" s="192">
        <v>0.26816759731221002</v>
      </c>
      <c r="X98" s="192">
        <f t="shared" si="17"/>
        <v>-0.35654584700988479</v>
      </c>
      <c r="Y98" s="192">
        <f t="shared" si="18"/>
        <v>5.9316518913136509</v>
      </c>
      <c r="Z98" s="192">
        <f t="shared" si="19"/>
        <v>3.7323978507517319</v>
      </c>
      <c r="AA98" s="192">
        <f t="shared" si="20"/>
        <v>-16.394272043948604</v>
      </c>
      <c r="AB98" s="192">
        <f t="shared" si="21"/>
        <v>0.90366467113913007</v>
      </c>
      <c r="AC98" s="192">
        <f t="shared" si="22"/>
        <v>-2.9650743628331644E-5</v>
      </c>
      <c r="AD98" s="192">
        <f t="shared" si="23"/>
        <v>1.3295634915756871</v>
      </c>
    </row>
    <row r="99" spans="2:30" x14ac:dyDescent="0.2">
      <c r="B99" s="45">
        <v>9000</v>
      </c>
      <c r="C99" s="198">
        <v>1.8165446432655423</v>
      </c>
      <c r="D99" s="198">
        <v>13.627276137150652</v>
      </c>
      <c r="E99" s="45">
        <v>0.41486000000000001</v>
      </c>
      <c r="F99" s="45">
        <v>0.73224999999999996</v>
      </c>
      <c r="G99" s="45">
        <v>11172.74360265728</v>
      </c>
      <c r="H99" s="45">
        <v>0.47320652437832872</v>
      </c>
      <c r="I99" s="45">
        <v>1.3826538111044508</v>
      </c>
      <c r="J99" s="45">
        <v>0.58360667231386065</v>
      </c>
      <c r="K99" s="45">
        <v>-0.41639332768613935</v>
      </c>
      <c r="L99" s="45">
        <v>-0.80634977743104419</v>
      </c>
      <c r="M99" s="45">
        <v>-0.26755470700822664</v>
      </c>
      <c r="N99" s="45">
        <v>1.24038</v>
      </c>
      <c r="Q99" s="45">
        <v>4.7233670400000002E-4</v>
      </c>
      <c r="R99" s="45">
        <v>2.6522080800000002E-3</v>
      </c>
      <c r="S99" s="45">
        <v>19.005003252668295</v>
      </c>
      <c r="T99" s="45">
        <v>3.9670808378369955E-2</v>
      </c>
      <c r="V99" s="192">
        <f t="shared" si="16"/>
        <v>0.55049569175593338</v>
      </c>
      <c r="W99" s="192">
        <v>0.26944343250019587</v>
      </c>
      <c r="X99" s="192">
        <f t="shared" si="17"/>
        <v>-0.3605519801223554</v>
      </c>
      <c r="Y99" s="192">
        <f t="shared" si="18"/>
        <v>5.9316518913136509</v>
      </c>
      <c r="Z99" s="192">
        <f t="shared" si="19"/>
        <v>3.7323978507517319</v>
      </c>
      <c r="AA99" s="192">
        <f t="shared" si="20"/>
        <v>-16.394272043948604</v>
      </c>
      <c r="AB99" s="192">
        <f t="shared" si="21"/>
        <v>0.91389376557824242</v>
      </c>
      <c r="AC99" s="192">
        <f t="shared" si="22"/>
        <v>-3.0363589399451385E-5</v>
      </c>
      <c r="AD99" s="192">
        <f t="shared" si="23"/>
        <v>1.3381360858446356</v>
      </c>
    </row>
    <row r="100" spans="2:30" x14ac:dyDescent="0.2">
      <c r="B100" s="45">
        <v>9100</v>
      </c>
      <c r="C100" s="198">
        <v>1.8165446432655423</v>
      </c>
      <c r="D100" s="198">
        <v>13.778690316452327</v>
      </c>
      <c r="E100" s="45">
        <v>0.41486000000000001</v>
      </c>
      <c r="F100" s="45">
        <v>0.73224999999999996</v>
      </c>
      <c r="G100" s="45">
        <v>11172.74360265728</v>
      </c>
      <c r="H100" s="45">
        <v>0.47320652437832872</v>
      </c>
      <c r="I100" s="45">
        <v>1.3980166312278335</v>
      </c>
      <c r="J100" s="45">
        <v>0.59009119089512574</v>
      </c>
      <c r="K100" s="45">
        <v>-0.40990880910487426</v>
      </c>
      <c r="L100" s="45">
        <v>-0.82678859127850113</v>
      </c>
      <c r="M100" s="45">
        <v>-0.27127543986892877</v>
      </c>
      <c r="N100" s="45">
        <v>1.2472099999999999</v>
      </c>
      <c r="Q100" s="45">
        <v>4.6971847384615377E-4</v>
      </c>
      <c r="R100" s="45">
        <v>2.6375065098901097E-3</v>
      </c>
      <c r="S100" s="45">
        <v>19.110937924946867</v>
      </c>
      <c r="T100" s="45">
        <v>3.9982222501114509E-2</v>
      </c>
      <c r="V100" s="192">
        <f t="shared" si="16"/>
        <v>0.55049569175593338</v>
      </c>
      <c r="W100" s="192">
        <v>0.2707020806962836</v>
      </c>
      <c r="X100" s="192">
        <f t="shared" si="17"/>
        <v>-0.36455811323482595</v>
      </c>
      <c r="Y100" s="192">
        <f t="shared" si="18"/>
        <v>5.9316518913136509</v>
      </c>
      <c r="Z100" s="192">
        <f t="shared" si="19"/>
        <v>3.7323978507517319</v>
      </c>
      <c r="AA100" s="192">
        <f t="shared" si="20"/>
        <v>-16.394272043948604</v>
      </c>
      <c r="AB100" s="192">
        <f t="shared" si="21"/>
        <v>0.92408545413316512</v>
      </c>
      <c r="AC100" s="192">
        <f t="shared" si="22"/>
        <v>-3.1063207332412968E-5</v>
      </c>
      <c r="AD100" s="192">
        <f t="shared" si="23"/>
        <v>1.3467133769239288</v>
      </c>
    </row>
    <row r="101" spans="2:30" x14ac:dyDescent="0.2">
      <c r="B101" s="45">
        <v>9200</v>
      </c>
      <c r="C101" s="198">
        <v>1.8165446432655423</v>
      </c>
      <c r="D101" s="198">
        <v>13.930104495754</v>
      </c>
      <c r="E101" s="45">
        <v>0.41486000000000001</v>
      </c>
      <c r="F101" s="45">
        <v>0.73224999999999996</v>
      </c>
      <c r="G101" s="45">
        <v>11172.74360265728</v>
      </c>
      <c r="H101" s="45">
        <v>0.47320652437832872</v>
      </c>
      <c r="I101" s="45">
        <v>1.4133794513512163</v>
      </c>
      <c r="J101" s="45">
        <v>0.59657570947639094</v>
      </c>
      <c r="K101" s="45">
        <v>-0.40342429052360906</v>
      </c>
      <c r="L101" s="45">
        <v>-0.84747969901334308</v>
      </c>
      <c r="M101" s="45">
        <v>-0.27496243935180847</v>
      </c>
      <c r="N101" s="45">
        <v>1.25406</v>
      </c>
      <c r="Q101" s="45">
        <v>4.6716461217391302E-4</v>
      </c>
      <c r="R101" s="45">
        <v>2.6231663739130434E-3</v>
      </c>
      <c r="S101" s="45">
        <v>19.215412216481873</v>
      </c>
      <c r="T101" s="45">
        <v>4.0292276448428289E-2</v>
      </c>
      <c r="V101" s="192">
        <f t="shared" si="16"/>
        <v>0.55049569175593338</v>
      </c>
      <c r="W101" s="192">
        <v>0.27194397242911761</v>
      </c>
      <c r="X101" s="192">
        <f t="shared" si="17"/>
        <v>-0.36856424634729651</v>
      </c>
      <c r="Y101" s="192">
        <f t="shared" si="18"/>
        <v>5.9316518913136509</v>
      </c>
      <c r="Z101" s="192">
        <f t="shared" si="19"/>
        <v>3.7323978507517319</v>
      </c>
      <c r="AA101" s="192">
        <f t="shared" si="20"/>
        <v>-16.394272043948604</v>
      </c>
      <c r="AB101" s="192">
        <f t="shared" si="21"/>
        <v>0.93424020423308607</v>
      </c>
      <c r="AC101" s="192">
        <f t="shared" si="22"/>
        <v>-3.174993074078758E-5</v>
      </c>
      <c r="AD101" s="192">
        <f t="shared" si="23"/>
        <v>1.3552947802266992</v>
      </c>
    </row>
    <row r="102" spans="2:30" x14ac:dyDescent="0.2">
      <c r="B102" s="45">
        <v>9300</v>
      </c>
      <c r="C102" s="198">
        <v>1.8165446432655423</v>
      </c>
      <c r="D102" s="198">
        <v>14.081518675055674</v>
      </c>
      <c r="E102" s="45">
        <v>0.41486000000000001</v>
      </c>
      <c r="F102" s="45">
        <v>0.73224999999999996</v>
      </c>
      <c r="G102" s="45">
        <v>11172.74360265728</v>
      </c>
      <c r="H102" s="45">
        <v>0.47320652437832872</v>
      </c>
      <c r="I102" s="45">
        <v>1.4287422714745992</v>
      </c>
      <c r="J102" s="45">
        <v>0.60306022805765602</v>
      </c>
      <c r="K102" s="45">
        <v>-0.39693977194234398</v>
      </c>
      <c r="L102" s="45">
        <v>-0.86842310063556905</v>
      </c>
      <c r="M102" s="45">
        <v>-0.27861406945246514</v>
      </c>
      <c r="N102" s="45">
        <v>1.26091</v>
      </c>
      <c r="Q102" s="45">
        <v>4.6466567225806455E-4</v>
      </c>
      <c r="R102" s="45">
        <v>2.6091346279569893E-3</v>
      </c>
      <c r="S102" s="45">
        <v>19.318751377203395</v>
      </c>
      <c r="T102" s="45">
        <v>4.0601855233946674E-2</v>
      </c>
      <c r="V102" s="192">
        <f t="shared" si="16"/>
        <v>0.55049569175593338</v>
      </c>
      <c r="W102" s="192">
        <v>0.27316952330566535</v>
      </c>
      <c r="X102" s="192">
        <f t="shared" si="17"/>
        <v>-0.37257037945976718</v>
      </c>
      <c r="Y102" s="192">
        <f t="shared" si="18"/>
        <v>5.9316518913136509</v>
      </c>
      <c r="Z102" s="192">
        <f t="shared" si="19"/>
        <v>3.7323978507517319</v>
      </c>
      <c r="AA102" s="192">
        <f t="shared" si="20"/>
        <v>-16.394272043948604</v>
      </c>
      <c r="AB102" s="192">
        <f t="shared" si="21"/>
        <v>0.9443584794698846</v>
      </c>
      <c r="AC102" s="192">
        <f t="shared" si="22"/>
        <v>-3.2424085776944223E-5</v>
      </c>
      <c r="AD102" s="192">
        <f t="shared" si="23"/>
        <v>1.3638797437987853</v>
      </c>
    </row>
    <row r="103" spans="2:30" x14ac:dyDescent="0.2">
      <c r="B103" s="45">
        <v>9400</v>
      </c>
      <c r="C103" s="198">
        <v>1.8165446432655423</v>
      </c>
      <c r="D103" s="198">
        <v>14.232932854357347</v>
      </c>
      <c r="E103" s="45">
        <v>0.41486000000000001</v>
      </c>
      <c r="F103" s="45">
        <v>0.73224999999999996</v>
      </c>
      <c r="G103" s="45">
        <v>11172.74360265728</v>
      </c>
      <c r="H103" s="45">
        <v>0.47320652437832872</v>
      </c>
      <c r="I103" s="45">
        <v>1.4441050915979821</v>
      </c>
      <c r="J103" s="45">
        <v>0.60954474663892111</v>
      </c>
      <c r="K103" s="45">
        <v>-0.39045525336107889</v>
      </c>
      <c r="L103" s="45">
        <v>-0.8896187961451798</v>
      </c>
      <c r="M103" s="45">
        <v>-0.28222869416649793</v>
      </c>
      <c r="N103" s="45">
        <v>1.2677700000000001</v>
      </c>
      <c r="Q103" s="45">
        <v>4.6222354723404269E-4</v>
      </c>
      <c r="R103" s="45">
        <v>2.5954219021276596E-3</v>
      </c>
      <c r="S103" s="45">
        <v>19.420820617192238</v>
      </c>
      <c r="T103" s="45">
        <v>4.0910482320043878E-2</v>
      </c>
      <c r="V103" s="192">
        <f t="shared" si="16"/>
        <v>0.55049569175593338</v>
      </c>
      <c r="W103" s="192">
        <v>0.27437913463863495</v>
      </c>
      <c r="X103" s="192">
        <f t="shared" si="17"/>
        <v>-0.37657651257223779</v>
      </c>
      <c r="Y103" s="192">
        <f t="shared" si="18"/>
        <v>5.9316518913136509</v>
      </c>
      <c r="Z103" s="192">
        <f t="shared" si="19"/>
        <v>3.7323978507517319</v>
      </c>
      <c r="AA103" s="192">
        <f t="shared" si="20"/>
        <v>-16.394272043948604</v>
      </c>
      <c r="AB103" s="192">
        <f t="shared" si="21"/>
        <v>0.95444073921574102</v>
      </c>
      <c r="AC103" s="192">
        <f t="shared" si="22"/>
        <v>-3.3085991255288327E-5</v>
      </c>
      <c r="AD103" s="192">
        <f t="shared" si="23"/>
        <v>1.3724677463838482</v>
      </c>
    </row>
    <row r="104" spans="2:30" x14ac:dyDescent="0.2">
      <c r="B104" s="45">
        <v>9500</v>
      </c>
      <c r="C104" s="198">
        <v>1.8165446432655423</v>
      </c>
      <c r="D104" s="198">
        <v>14.384347033659022</v>
      </c>
      <c r="E104" s="45">
        <v>0.41486000000000001</v>
      </c>
      <c r="F104" s="45">
        <v>0.73224999999999996</v>
      </c>
      <c r="G104" s="45">
        <v>11172.74360265728</v>
      </c>
      <c r="H104" s="45">
        <v>0.47320652437832872</v>
      </c>
      <c r="I104" s="45">
        <v>1.4594679117213647</v>
      </c>
      <c r="J104" s="45">
        <v>0.61602926522018631</v>
      </c>
      <c r="K104" s="45">
        <v>-0.38397073477981369</v>
      </c>
      <c r="L104" s="45">
        <v>-0.91106678554217591</v>
      </c>
      <c r="M104" s="45">
        <v>-0.28580467748950594</v>
      </c>
      <c r="N104" s="45">
        <v>1.27464</v>
      </c>
      <c r="Q104" s="45">
        <v>4.5983644294736843E-4</v>
      </c>
      <c r="R104" s="45">
        <v>2.5820181221052631E-3</v>
      </c>
      <c r="S104" s="45">
        <v>19.521638037944893</v>
      </c>
      <c r="T104" s="45">
        <v>4.1218134341738162E-2</v>
      </c>
      <c r="V104" s="192">
        <f t="shared" si="16"/>
        <v>0.55049569175593338</v>
      </c>
      <c r="W104" s="192">
        <v>0.27557319404481295</v>
      </c>
      <c r="X104" s="192">
        <f t="shared" si="17"/>
        <v>-0.3805826456847084</v>
      </c>
      <c r="Y104" s="192">
        <f t="shared" si="18"/>
        <v>5.9316518913136509</v>
      </c>
      <c r="Z104" s="192">
        <f t="shared" si="19"/>
        <v>3.7323978507517319</v>
      </c>
      <c r="AA104" s="192">
        <f t="shared" si="20"/>
        <v>-16.394272043948604</v>
      </c>
      <c r="AB104" s="192">
        <f t="shared" si="21"/>
        <v>0.96448743829290362</v>
      </c>
      <c r="AC104" s="192">
        <f t="shared" si="22"/>
        <v>-3.3735958528235965E-5</v>
      </c>
      <c r="AD104" s="192">
        <f t="shared" si="23"/>
        <v>1.3810582956149904</v>
      </c>
    </row>
    <row r="105" spans="2:30" x14ac:dyDescent="0.2">
      <c r="B105" s="45">
        <v>9600</v>
      </c>
      <c r="C105" s="198">
        <v>1.8165446432655423</v>
      </c>
      <c r="D105" s="198">
        <v>14.535761212960695</v>
      </c>
      <c r="E105" s="45">
        <v>0.41486000000000001</v>
      </c>
      <c r="F105" s="45">
        <v>0.73224999999999996</v>
      </c>
      <c r="G105" s="45">
        <v>11172.74360265728</v>
      </c>
      <c r="H105" s="45">
        <v>0.47320652437832872</v>
      </c>
      <c r="I105" s="45">
        <v>1.4748307318447476</v>
      </c>
      <c r="J105" s="45">
        <v>0.62251378380145139</v>
      </c>
      <c r="K105" s="45">
        <v>-0.37748621619854861</v>
      </c>
      <c r="L105" s="45">
        <v>-0.9327670688265558</v>
      </c>
      <c r="M105" s="45">
        <v>-0.2893403834170889</v>
      </c>
      <c r="N105" s="45">
        <v>1.28152</v>
      </c>
      <c r="Q105" s="45">
        <v>4.5750264000000003E-4</v>
      </c>
      <c r="R105" s="45">
        <v>2.5689136333333332E-3</v>
      </c>
      <c r="S105" s="45">
        <v>19.621221411694201</v>
      </c>
      <c r="T105" s="45">
        <v>4.1524788501980846E-2</v>
      </c>
      <c r="V105" s="192">
        <f t="shared" si="16"/>
        <v>0.55049569175593338</v>
      </c>
      <c r="W105" s="192">
        <v>0.27675207601563129</v>
      </c>
      <c r="X105" s="192">
        <f t="shared" si="17"/>
        <v>-0.38458877879717901</v>
      </c>
      <c r="Y105" s="192">
        <f t="shared" si="18"/>
        <v>5.9316518913136509</v>
      </c>
      <c r="Z105" s="192">
        <f t="shared" si="19"/>
        <v>3.7323978507517319</v>
      </c>
      <c r="AA105" s="192">
        <f t="shared" si="20"/>
        <v>-16.394272043948604</v>
      </c>
      <c r="AB105" s="192">
        <f t="shared" si="21"/>
        <v>0.97449902669025379</v>
      </c>
      <c r="AC105" s="192">
        <f t="shared" si="22"/>
        <v>-3.4374291414063229E-5</v>
      </c>
      <c r="AD105" s="192">
        <f t="shared" si="23"/>
        <v>1.3896509263238805</v>
      </c>
    </row>
    <row r="106" spans="2:30" x14ac:dyDescent="0.2">
      <c r="B106" s="45">
        <v>9700</v>
      </c>
      <c r="C106" s="198">
        <v>1.8165446432655423</v>
      </c>
      <c r="D106" s="198">
        <v>14.68717539226237</v>
      </c>
      <c r="E106" s="45">
        <v>0.41486000000000001</v>
      </c>
      <c r="F106" s="45">
        <v>0.73224999999999996</v>
      </c>
      <c r="G106" s="45">
        <v>11172.74360265728</v>
      </c>
      <c r="H106" s="45">
        <v>0.47320652437832872</v>
      </c>
      <c r="I106" s="45">
        <v>1.4901935519681304</v>
      </c>
      <c r="J106" s="45">
        <v>0.62899830238271637</v>
      </c>
      <c r="K106" s="45">
        <v>-0.37100169761728363</v>
      </c>
      <c r="L106" s="45">
        <v>-0.9547196459983196</v>
      </c>
      <c r="M106" s="45">
        <v>-0.29283417594484618</v>
      </c>
      <c r="N106" s="45">
        <v>1.2884100000000001</v>
      </c>
      <c r="Q106" s="45">
        <v>4.5522048989690727E-4</v>
      </c>
      <c r="R106" s="45">
        <v>2.5560991793814433E-3</v>
      </c>
      <c r="S106" s="45">
        <v>19.719588188808395</v>
      </c>
      <c r="T106" s="45">
        <v>4.1830422564656869E-2</v>
      </c>
      <c r="V106" s="192">
        <f t="shared" si="16"/>
        <v>0.55049569175593338</v>
      </c>
      <c r="W106" s="192">
        <v>0.27791614246123442</v>
      </c>
      <c r="X106" s="192">
        <f t="shared" si="17"/>
        <v>-0.38859491190964962</v>
      </c>
      <c r="Y106" s="192">
        <f t="shared" si="18"/>
        <v>5.9316518913136509</v>
      </c>
      <c r="Z106" s="192">
        <f t="shared" si="19"/>
        <v>3.7323978507517319</v>
      </c>
      <c r="AA106" s="192">
        <f t="shared" si="20"/>
        <v>-16.394272043948604</v>
      </c>
      <c r="AB106" s="192">
        <f t="shared" si="21"/>
        <v>0.98447594932184601</v>
      </c>
      <c r="AC106" s="192">
        <f t="shared" si="22"/>
        <v>-3.5001286167707368E-5</v>
      </c>
      <c r="AD106" s="192">
        <f t="shared" si="23"/>
        <v>1.3982451989590832</v>
      </c>
    </row>
    <row r="107" spans="2:30" x14ac:dyDescent="0.2">
      <c r="B107" s="45">
        <v>9800</v>
      </c>
      <c r="C107" s="198">
        <v>1.8165446432655423</v>
      </c>
      <c r="D107" s="198">
        <v>14.838589571564043</v>
      </c>
      <c r="E107" s="45">
        <v>0.41486000000000001</v>
      </c>
      <c r="F107" s="45">
        <v>0.73224999999999996</v>
      </c>
      <c r="G107" s="45">
        <v>11172.74360265728</v>
      </c>
      <c r="H107" s="45">
        <v>0.47320652437832872</v>
      </c>
      <c r="I107" s="45">
        <v>1.5055563720915133</v>
      </c>
      <c r="J107" s="45">
        <v>0.63548282096398145</v>
      </c>
      <c r="K107" s="45">
        <v>-0.36451717903601855</v>
      </c>
      <c r="L107" s="45">
        <v>-0.97692451705746874</v>
      </c>
      <c r="M107" s="45">
        <v>-0.29628441906837666</v>
      </c>
      <c r="N107" s="45">
        <v>1.29531</v>
      </c>
      <c r="Q107" s="45">
        <v>4.5298841142857148E-4</v>
      </c>
      <c r="R107" s="45">
        <v>2.543565881632653E-3</v>
      </c>
      <c r="S107" s="45">
        <v>19.816755504991779</v>
      </c>
      <c r="T107" s="45">
        <v>4.2135014847601258E-2</v>
      </c>
      <c r="V107" s="192">
        <f t="shared" si="16"/>
        <v>0.55049569175593338</v>
      </c>
      <c r="W107" s="192">
        <v>0.27906574322927968</v>
      </c>
      <c r="X107" s="192">
        <f t="shared" si="17"/>
        <v>-0.39260104502212023</v>
      </c>
      <c r="Y107" s="192">
        <f t="shared" si="18"/>
        <v>5.9316518913136509</v>
      </c>
      <c r="Z107" s="192">
        <f t="shared" si="19"/>
        <v>3.7323978507517319</v>
      </c>
      <c r="AA107" s="192">
        <f t="shared" si="20"/>
        <v>-16.394272043948604</v>
      </c>
      <c r="AB107" s="192">
        <f t="shared" si="21"/>
        <v>0.99441864582308936</v>
      </c>
      <c r="AC107" s="192">
        <f t="shared" si="22"/>
        <v>-3.5617231486317902E-5</v>
      </c>
      <c r="AD107" s="192">
        <f t="shared" si="23"/>
        <v>1.406840698105895</v>
      </c>
    </row>
    <row r="108" spans="2:30" x14ac:dyDescent="0.2">
      <c r="B108" s="45">
        <v>9900</v>
      </c>
      <c r="C108" s="198">
        <v>1.8165446432655423</v>
      </c>
      <c r="D108" s="198">
        <v>14.990003750865718</v>
      </c>
      <c r="E108" s="45">
        <v>0.41486000000000001</v>
      </c>
      <c r="F108" s="45">
        <v>0.73224999999999996</v>
      </c>
      <c r="G108" s="45">
        <v>11172.74360265728</v>
      </c>
      <c r="H108" s="45">
        <v>0.47320652437832872</v>
      </c>
      <c r="I108" s="45">
        <v>1.5209191922148961</v>
      </c>
      <c r="J108" s="45">
        <v>0.64196733954524665</v>
      </c>
      <c r="K108" s="45">
        <v>-0.35803266045475335</v>
      </c>
      <c r="L108" s="45">
        <v>-0.99938168200400324</v>
      </c>
      <c r="M108" s="45">
        <v>-0.29968947678327978</v>
      </c>
      <c r="N108" s="45">
        <v>1.3022100000000001</v>
      </c>
      <c r="Q108" s="45">
        <v>4.5080142545454548E-4</v>
      </c>
      <c r="R108" s="45">
        <v>2.5312857818181817E-3</v>
      </c>
      <c r="S108" s="45">
        <v>19.912893103262281</v>
      </c>
      <c r="T108" s="45">
        <v>4.2439029883499013E-2</v>
      </c>
      <c r="V108" s="192">
        <f t="shared" si="16"/>
        <v>0.55049569175593338</v>
      </c>
      <c r="W108" s="192">
        <v>0.28020121659965813</v>
      </c>
      <c r="X108" s="192">
        <f t="shared" si="17"/>
        <v>-0.3966071781345909</v>
      </c>
      <c r="Y108" s="192">
        <f t="shared" si="18"/>
        <v>5.9316518913136509</v>
      </c>
      <c r="Z108" s="192">
        <f t="shared" si="19"/>
        <v>3.7323978507517319</v>
      </c>
      <c r="AA108" s="192">
        <f t="shared" si="20"/>
        <v>-16.394272043948604</v>
      </c>
      <c r="AB108" s="192">
        <f t="shared" si="21"/>
        <v>1.0043275503806552</v>
      </c>
      <c r="AC108" s="192">
        <f t="shared" si="22"/>
        <v>-3.6222408539260398E-5</v>
      </c>
      <c r="AD108" s="192">
        <f t="shared" si="23"/>
        <v>1.4154370311005808</v>
      </c>
    </row>
    <row r="109" spans="2:30" x14ac:dyDescent="0.2">
      <c r="B109" s="45">
        <v>10000</v>
      </c>
      <c r="C109" s="198">
        <v>1.8165446432655423</v>
      </c>
      <c r="D109" s="198">
        <v>15.141417930167391</v>
      </c>
      <c r="E109" s="45">
        <v>0.41486000000000001</v>
      </c>
      <c r="F109" s="45">
        <v>0.73224999999999996</v>
      </c>
      <c r="G109" s="45">
        <v>11172.74360265728</v>
      </c>
      <c r="H109" s="45">
        <v>0.47320652437832872</v>
      </c>
      <c r="I109" s="45">
        <v>1.5362820123382785</v>
      </c>
      <c r="J109" s="45">
        <v>0.64845185812651174</v>
      </c>
      <c r="K109" s="45">
        <v>-0.35154814187348826</v>
      </c>
      <c r="L109" s="45">
        <v>-1.0220911408379221</v>
      </c>
      <c r="M109" s="45">
        <v>-0.30304771308515471</v>
      </c>
      <c r="N109" s="45">
        <v>1.3091200000000001</v>
      </c>
      <c r="Q109" s="45">
        <v>4.4866160640000003E-4</v>
      </c>
      <c r="R109" s="45">
        <v>2.5192705280000002E-3</v>
      </c>
      <c r="S109" s="45">
        <v>20.007864430172518</v>
      </c>
      <c r="T109" s="45">
        <v>4.2741969271080683E-2</v>
      </c>
      <c r="V109" s="192">
        <f t="shared" si="16"/>
        <v>0.55049569175593338</v>
      </c>
      <c r="W109" s="192">
        <v>0.28132288975627784</v>
      </c>
      <c r="X109" s="192">
        <f t="shared" si="17"/>
        <v>-0.40061331124706151</v>
      </c>
      <c r="Y109" s="192">
        <f t="shared" si="18"/>
        <v>5.9316518913136509</v>
      </c>
      <c r="Z109" s="192">
        <f t="shared" si="19"/>
        <v>3.7323978507517319</v>
      </c>
      <c r="AA109" s="192">
        <f t="shared" si="20"/>
        <v>-16.394272043948604</v>
      </c>
      <c r="AB109" s="192">
        <f t="shared" si="21"/>
        <v>1.0142030915925515</v>
      </c>
      <c r="AC109" s="192">
        <f t="shared" si="22"/>
        <v>-3.6817091038809924E-5</v>
      </c>
      <c r="AD109" s="192">
        <f t="shared" si="23"/>
        <v>1.4240338267324431</v>
      </c>
    </row>
    <row r="110" spans="2:30" x14ac:dyDescent="0.2">
      <c r="C110" s="44"/>
      <c r="D110" s="44"/>
    </row>
  </sheetData>
  <mergeCells count="1">
    <mergeCell ref="E7:P7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25</xdr:col>
                <xdr:colOff>381000</xdr:colOff>
                <xdr:row>1</xdr:row>
                <xdr:rowOff>66675</xdr:rowOff>
              </from>
              <to>
                <xdr:col>28</xdr:col>
                <xdr:colOff>514350</xdr:colOff>
                <xdr:row>4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G32"/>
  <sheetViews>
    <sheetView showGridLines="0" workbookViewId="0">
      <selection activeCell="F36" sqref="F36"/>
    </sheetView>
  </sheetViews>
  <sheetFormatPr defaultColWidth="9" defaultRowHeight="12" x14ac:dyDescent="0.2"/>
  <cols>
    <col min="1" max="1" width="1.85546875" style="43" customWidth="1"/>
    <col min="2" max="5" width="10.140625" style="43" customWidth="1"/>
    <col min="6" max="6" width="11.42578125" style="43" customWidth="1"/>
    <col min="7" max="7" width="10.140625" style="43" customWidth="1"/>
    <col min="8" max="8" width="1.42578125" style="43" customWidth="1"/>
    <col min="9" max="16384" width="9" style="43"/>
  </cols>
  <sheetData>
    <row r="1" spans="2:7" ht="6" customHeight="1" x14ac:dyDescent="0.2"/>
    <row r="8" spans="2:7" x14ac:dyDescent="0.2">
      <c r="B8" s="75" t="s">
        <v>43</v>
      </c>
      <c r="C8" s="76" t="s">
        <v>71</v>
      </c>
      <c r="D8" s="76" t="s">
        <v>72</v>
      </c>
      <c r="E8" s="76" t="s">
        <v>73</v>
      </c>
      <c r="F8" s="76" t="s">
        <v>74</v>
      </c>
      <c r="G8" s="77" t="s">
        <v>75</v>
      </c>
    </row>
    <row r="9" spans="2:7" ht="14.25" x14ac:dyDescent="0.2">
      <c r="B9" s="78" t="s">
        <v>31</v>
      </c>
      <c r="C9" s="79" t="s">
        <v>30</v>
      </c>
      <c r="D9" s="79"/>
      <c r="E9" s="79" t="s">
        <v>63</v>
      </c>
      <c r="F9" s="79" t="s">
        <v>76</v>
      </c>
      <c r="G9" s="80" t="s">
        <v>77</v>
      </c>
    </row>
    <row r="10" spans="2:7" x14ac:dyDescent="0.2">
      <c r="B10" s="81">
        <v>500</v>
      </c>
      <c r="C10" s="74">
        <v>60</v>
      </c>
      <c r="D10" s="86">
        <f>Factor_z_EOS(B10,C10)</f>
        <v>0.89215</v>
      </c>
      <c r="E10" s="87">
        <f>+vis_EOS(C10,G10)</f>
        <v>1.1343587967741138E-2</v>
      </c>
      <c r="F10" s="87">
        <f>Bg_EOS(D10,C10,B10)</f>
        <v>2.6257758799999999E-2</v>
      </c>
      <c r="G10" s="92">
        <f>Density_EOS(B10,C10,D10)</f>
        <v>1.9196315866513762</v>
      </c>
    </row>
    <row r="11" spans="2:7" x14ac:dyDescent="0.2">
      <c r="B11" s="82">
        <v>1000</v>
      </c>
      <c r="C11" s="83">
        <v>60</v>
      </c>
      <c r="D11" s="88">
        <f>Factor_z_EOS(B11,C11)</f>
        <v>0.79803999999999997</v>
      </c>
      <c r="E11" s="89">
        <f>+vis_EOS(C11,G11)</f>
        <v>1.2962957119726727E-2</v>
      </c>
      <c r="F11" s="89">
        <f t="shared" ref="F11:F30" si="0">Bg_EOS(D11,C11,B11)</f>
        <v>1.1743956639999999E-2</v>
      </c>
      <c r="G11" s="93">
        <f t="shared" ref="G11:G30" si="1">Density_EOS(B11,C11,D11)</f>
        <v>4.2920137337251907</v>
      </c>
    </row>
    <row r="12" spans="2:7" x14ac:dyDescent="0.2">
      <c r="B12" s="82">
        <v>1500</v>
      </c>
      <c r="C12" s="83">
        <v>60</v>
      </c>
      <c r="D12" s="88">
        <f t="shared" ref="D12:D30" si="2">Factor_z_EOS(B12,C12)</f>
        <v>0.73182999999999998</v>
      </c>
      <c r="E12" s="89">
        <f>+vis_EOS(C12,G12)</f>
        <v>1.5443355159567587E-2</v>
      </c>
      <c r="F12" s="89">
        <f t="shared" si="0"/>
        <v>7.1797401866666669E-3</v>
      </c>
      <c r="G12" s="93">
        <f>Density_EOS(B12,C12,D12)</f>
        <v>7.0204801116284887</v>
      </c>
    </row>
    <row r="13" spans="2:7" x14ac:dyDescent="0.2">
      <c r="B13" s="82">
        <v>2000</v>
      </c>
      <c r="C13" s="83">
        <v>60</v>
      </c>
      <c r="D13" s="88">
        <f t="shared" si="2"/>
        <v>0.70360999999999996</v>
      </c>
      <c r="E13" s="89">
        <f>+vis_EOS(C13,G13)</f>
        <v>1.8671504965979545E-2</v>
      </c>
      <c r="F13" s="89">
        <f t="shared" si="0"/>
        <v>5.1771623799999993E-3</v>
      </c>
      <c r="G13" s="93">
        <f t="shared" si="1"/>
        <v>9.7360715170678382</v>
      </c>
    </row>
    <row r="14" spans="2:7" x14ac:dyDescent="0.2">
      <c r="B14" s="82">
        <v>2500</v>
      </c>
      <c r="C14" s="83">
        <v>60</v>
      </c>
      <c r="D14" s="88">
        <f t="shared" si="2"/>
        <v>0.70779000000000003</v>
      </c>
      <c r="E14" s="89">
        <f t="shared" ref="E14:E30" si="3">+vis_EOS(C14,G14)</f>
        <v>2.2239547916810515E-2</v>
      </c>
      <c r="F14" s="89">
        <f>Bg_EOS(D14,C14,B14)</f>
        <v>4.1663350560000008E-3</v>
      </c>
      <c r="G14" s="93">
        <f t="shared" si="1"/>
        <v>12.098216420343784</v>
      </c>
    </row>
    <row r="15" spans="2:7" x14ac:dyDescent="0.2">
      <c r="B15" s="82">
        <v>3000</v>
      </c>
      <c r="C15" s="83">
        <v>60</v>
      </c>
      <c r="D15" s="88">
        <f>Factor_z_EOS(B15,C15)</f>
        <v>0.73194000000000004</v>
      </c>
      <c r="E15" s="89">
        <f t="shared" si="3"/>
        <v>2.5822397267756592E-2</v>
      </c>
      <c r="F15" s="89">
        <f>Bg_EOS(D15,C15,B15)</f>
        <v>3.59040968E-3</v>
      </c>
      <c r="G15" s="93">
        <f>Density_EOS(B15,C15,D15)</f>
        <v>14.03885006993217</v>
      </c>
    </row>
    <row r="16" spans="2:7" x14ac:dyDescent="0.2">
      <c r="B16" s="82">
        <v>3500</v>
      </c>
      <c r="C16" s="83">
        <v>60</v>
      </c>
      <c r="D16" s="88">
        <f t="shared" si="2"/>
        <v>0.76702000000000004</v>
      </c>
      <c r="E16" s="89">
        <f t="shared" si="3"/>
        <v>2.9285056451332683E-2</v>
      </c>
      <c r="F16" s="89">
        <f t="shared" si="0"/>
        <v>3.2249903771428574E-3</v>
      </c>
      <c r="G16" s="93">
        <f t="shared" si="1"/>
        <v>15.629573205675444</v>
      </c>
    </row>
    <row r="17" spans="2:7" x14ac:dyDescent="0.2">
      <c r="B17" s="82">
        <v>4000</v>
      </c>
      <c r="C17" s="83">
        <v>60</v>
      </c>
      <c r="D17" s="88">
        <f t="shared" si="2"/>
        <v>0.80806</v>
      </c>
      <c r="E17" s="89">
        <f t="shared" si="3"/>
        <v>3.259250970922075E-2</v>
      </c>
      <c r="F17" s="89">
        <f t="shared" si="0"/>
        <v>2.9728527399999999E-3</v>
      </c>
      <c r="G17" s="93">
        <f t="shared" si="1"/>
        <v>16.955169863931147</v>
      </c>
    </row>
    <row r="18" spans="2:7" x14ac:dyDescent="0.2">
      <c r="B18" s="82">
        <v>4500</v>
      </c>
      <c r="C18" s="83">
        <v>60</v>
      </c>
      <c r="D18" s="88">
        <f t="shared" si="2"/>
        <v>0.85243999999999998</v>
      </c>
      <c r="E18" s="89">
        <f t="shared" si="3"/>
        <v>3.5745915070545253E-2</v>
      </c>
      <c r="F18" s="89">
        <f t="shared" si="0"/>
        <v>2.7876682311111104E-3</v>
      </c>
      <c r="G18" s="93">
        <f t="shared" si="1"/>
        <v>18.081500023789626</v>
      </c>
    </row>
    <row r="19" spans="2:7" x14ac:dyDescent="0.2">
      <c r="B19" s="82">
        <v>5000</v>
      </c>
      <c r="C19" s="83">
        <v>60</v>
      </c>
      <c r="D19" s="88">
        <f t="shared" si="2"/>
        <v>0.89875000000000005</v>
      </c>
      <c r="E19" s="89">
        <f t="shared" si="3"/>
        <v>3.8756364814583007E-2</v>
      </c>
      <c r="F19" s="89">
        <f t="shared" si="0"/>
        <v>2.6452009999999998E-3</v>
      </c>
      <c r="G19" s="93">
        <f t="shared" si="1"/>
        <v>19.055347093530184</v>
      </c>
    </row>
    <row r="20" spans="2:7" x14ac:dyDescent="0.2">
      <c r="B20" s="82">
        <v>5500</v>
      </c>
      <c r="C20" s="83">
        <v>60</v>
      </c>
      <c r="D20" s="88">
        <f t="shared" si="2"/>
        <v>0.94620000000000004</v>
      </c>
      <c r="E20" s="89">
        <f t="shared" si="3"/>
        <v>4.1636363078000879E-2</v>
      </c>
      <c r="F20" s="89">
        <f t="shared" si="0"/>
        <v>2.531687127272727E-3</v>
      </c>
      <c r="G20" s="93">
        <f t="shared" si="1"/>
        <v>19.909736335173619</v>
      </c>
    </row>
    <row r="21" spans="2:7" x14ac:dyDescent="0.2">
      <c r="B21" s="82">
        <v>6000</v>
      </c>
      <c r="C21" s="83">
        <v>60</v>
      </c>
      <c r="D21" s="88">
        <f t="shared" si="2"/>
        <v>0.99429999999999996</v>
      </c>
      <c r="E21" s="89">
        <f t="shared" si="3"/>
        <v>4.4399673508955559E-2</v>
      </c>
      <c r="F21" s="89">
        <f>Bg_EOS(D21,C21,B21)</f>
        <v>2.4386864666666665E-3</v>
      </c>
      <c r="G21" s="93">
        <f t="shared" si="1"/>
        <v>20.669005169840396</v>
      </c>
    </row>
    <row r="22" spans="2:7" x14ac:dyDescent="0.2">
      <c r="B22" s="82">
        <v>6500</v>
      </c>
      <c r="C22" s="83">
        <v>100</v>
      </c>
      <c r="D22" s="88">
        <f t="shared" si="2"/>
        <v>1.0468900000000001</v>
      </c>
      <c r="E22" s="89">
        <f t="shared" si="3"/>
        <v>4.0925874047678119E-2</v>
      </c>
      <c r="F22" s="89">
        <f t="shared" si="0"/>
        <v>2.5524788800000003E-3</v>
      </c>
      <c r="G22" s="93">
        <f t="shared" si="1"/>
        <v>19.747557396891423</v>
      </c>
    </row>
    <row r="23" spans="2:7" x14ac:dyDescent="0.2">
      <c r="B23" s="82">
        <v>7000</v>
      </c>
      <c r="C23" s="83">
        <v>220</v>
      </c>
      <c r="D23" s="88">
        <f t="shared" si="2"/>
        <v>1.1069800000000001</v>
      </c>
      <c r="E23" s="89">
        <f t="shared" si="3"/>
        <v>3.3257332494720446E-2</v>
      </c>
      <c r="F23" s="89">
        <f t="shared" si="0"/>
        <v>3.0432461600000005E-3</v>
      </c>
      <c r="G23" s="93">
        <f t="shared" si="1"/>
        <v>16.562979311260559</v>
      </c>
    </row>
    <row r="24" spans="2:7" x14ac:dyDescent="0.2">
      <c r="B24" s="82">
        <v>7500</v>
      </c>
      <c r="C24" s="83">
        <v>220</v>
      </c>
      <c r="D24" s="88">
        <f t="shared" si="2"/>
        <v>1.13958</v>
      </c>
      <c r="E24" s="89">
        <f t="shared" si="3"/>
        <v>3.4892742249052706E-2</v>
      </c>
      <c r="F24" s="89">
        <f t="shared" si="0"/>
        <v>2.9240103359999998E-3</v>
      </c>
      <c r="G24" s="93">
        <f t="shared" si="1"/>
        <v>17.238387486723692</v>
      </c>
    </row>
    <row r="25" spans="2:7" x14ac:dyDescent="0.2">
      <c r="B25" s="82">
        <v>8000</v>
      </c>
      <c r="C25" s="83">
        <v>220</v>
      </c>
      <c r="D25" s="88">
        <f t="shared" si="2"/>
        <v>1.17275</v>
      </c>
      <c r="E25" s="89">
        <f t="shared" si="3"/>
        <v>3.6507983148779788E-2</v>
      </c>
      <c r="F25" s="89">
        <f t="shared" si="0"/>
        <v>2.8210501249999998E-3</v>
      </c>
      <c r="G25" s="93">
        <f t="shared" si="1"/>
        <v>17.867539020474915</v>
      </c>
    </row>
    <row r="26" spans="2:7" x14ac:dyDescent="0.2">
      <c r="B26" s="82"/>
      <c r="C26" s="83"/>
      <c r="D26" s="88" t="str">
        <f t="shared" si="2"/>
        <v>--</v>
      </c>
      <c r="E26" s="89" t="str">
        <f t="shared" si="3"/>
        <v>--</v>
      </c>
      <c r="F26" s="89" t="str">
        <f t="shared" si="0"/>
        <v>--</v>
      </c>
      <c r="G26" s="93" t="str">
        <f t="shared" si="1"/>
        <v>--</v>
      </c>
    </row>
    <row r="27" spans="2:7" x14ac:dyDescent="0.2">
      <c r="B27" s="82"/>
      <c r="C27" s="83"/>
      <c r="D27" s="88" t="str">
        <f t="shared" si="2"/>
        <v>--</v>
      </c>
      <c r="E27" s="89" t="str">
        <f t="shared" si="3"/>
        <v>--</v>
      </c>
      <c r="F27" s="89" t="str">
        <f t="shared" si="0"/>
        <v>--</v>
      </c>
      <c r="G27" s="93" t="str">
        <f t="shared" si="1"/>
        <v>--</v>
      </c>
    </row>
    <row r="28" spans="2:7" x14ac:dyDescent="0.2">
      <c r="B28" s="82"/>
      <c r="C28" s="83"/>
      <c r="D28" s="88" t="str">
        <f t="shared" si="2"/>
        <v>--</v>
      </c>
      <c r="E28" s="89" t="str">
        <f t="shared" si="3"/>
        <v>--</v>
      </c>
      <c r="F28" s="89" t="str">
        <f t="shared" si="0"/>
        <v>--</v>
      </c>
      <c r="G28" s="93" t="str">
        <f t="shared" si="1"/>
        <v>--</v>
      </c>
    </row>
    <row r="29" spans="2:7" x14ac:dyDescent="0.2">
      <c r="B29" s="82"/>
      <c r="C29" s="83"/>
      <c r="D29" s="88" t="str">
        <f t="shared" si="2"/>
        <v>--</v>
      </c>
      <c r="E29" s="89" t="str">
        <f t="shared" si="3"/>
        <v>--</v>
      </c>
      <c r="F29" s="89" t="str">
        <f t="shared" si="0"/>
        <v>--</v>
      </c>
      <c r="G29" s="93" t="str">
        <f t="shared" si="1"/>
        <v>--</v>
      </c>
    </row>
    <row r="30" spans="2:7" x14ac:dyDescent="0.2">
      <c r="B30" s="84"/>
      <c r="C30" s="85"/>
      <c r="D30" s="90" t="str">
        <f t="shared" si="2"/>
        <v>--</v>
      </c>
      <c r="E30" s="91" t="str">
        <f t="shared" si="3"/>
        <v>--</v>
      </c>
      <c r="F30" s="91" t="str">
        <f t="shared" si="0"/>
        <v>--</v>
      </c>
      <c r="G30" s="94" t="str">
        <f t="shared" si="1"/>
        <v>--</v>
      </c>
    </row>
    <row r="32" spans="2:7" x14ac:dyDescent="0.2">
      <c r="F32" s="7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AM39"/>
  <sheetViews>
    <sheetView showGridLines="0" topLeftCell="B1" zoomScale="90" zoomScaleNormal="90" workbookViewId="0">
      <selection activeCell="Q39" sqref="Q39"/>
    </sheetView>
  </sheetViews>
  <sheetFormatPr defaultColWidth="9" defaultRowHeight="12" x14ac:dyDescent="0.2"/>
  <cols>
    <col min="1" max="1" width="2" style="43" customWidth="1"/>
    <col min="2" max="2" width="15.7109375" style="43" customWidth="1"/>
    <col min="3" max="3" width="11.5703125" style="43" customWidth="1"/>
    <col min="4" max="4" width="8.140625" style="43" customWidth="1"/>
    <col min="5" max="5" width="2" style="43" customWidth="1"/>
    <col min="6" max="6" width="17.7109375" style="43" customWidth="1"/>
    <col min="7" max="7" width="11.5703125" style="43" customWidth="1"/>
    <col min="8" max="8" width="8.140625" style="43" customWidth="1"/>
    <col min="9" max="9" width="2.42578125" style="43" customWidth="1"/>
    <col min="10" max="25" width="13.7109375" style="43" customWidth="1"/>
    <col min="26" max="26" width="3" style="43" customWidth="1"/>
    <col min="27" max="27" width="9" style="43"/>
    <col min="28" max="33" width="10.5703125" style="43" customWidth="1"/>
    <col min="34" max="16384" width="9" style="43"/>
  </cols>
  <sheetData>
    <row r="1" spans="2:39" ht="10.9" customHeight="1" x14ac:dyDescent="0.2">
      <c r="G1" s="130"/>
      <c r="H1" s="130"/>
      <c r="AA1" s="131" t="s">
        <v>89</v>
      </c>
      <c r="AB1" s="43" t="s">
        <v>79</v>
      </c>
    </row>
    <row r="2" spans="2:39" ht="10.9" customHeight="1" x14ac:dyDescent="0.2">
      <c r="AA2" s="131" t="s">
        <v>90</v>
      </c>
      <c r="AB2" s="43" t="s">
        <v>80</v>
      </c>
    </row>
    <row r="3" spans="2:39" ht="11.45" customHeight="1" x14ac:dyDescent="0.25">
      <c r="B3" s="171"/>
      <c r="C3" s="325">
        <v>0.68</v>
      </c>
      <c r="D3" s="172"/>
      <c r="F3" s="162" t="s">
        <v>2</v>
      </c>
      <c r="G3" s="163" t="s">
        <v>35</v>
      </c>
      <c r="H3" s="164">
        <v>0</v>
      </c>
      <c r="AA3" s="131" t="s">
        <v>91</v>
      </c>
      <c r="AB3" s="43" t="s">
        <v>81</v>
      </c>
    </row>
    <row r="4" spans="2:39" ht="11.45" customHeight="1" x14ac:dyDescent="0.25">
      <c r="B4" s="173"/>
      <c r="C4" s="326"/>
      <c r="D4" s="174"/>
      <c r="F4" s="165" t="s">
        <v>3</v>
      </c>
      <c r="G4" s="166" t="s">
        <v>36</v>
      </c>
      <c r="H4" s="167">
        <v>0</v>
      </c>
      <c r="AA4" s="131" t="s">
        <v>92</v>
      </c>
      <c r="AB4" s="43" t="s">
        <v>82</v>
      </c>
    </row>
    <row r="5" spans="2:39" ht="11.45" customHeight="1" x14ac:dyDescent="0.25">
      <c r="B5" s="175"/>
      <c r="C5" s="327"/>
      <c r="D5" s="176"/>
      <c r="F5" s="168" t="s">
        <v>4</v>
      </c>
      <c r="G5" s="169" t="s">
        <v>37</v>
      </c>
      <c r="H5" s="170">
        <v>0</v>
      </c>
      <c r="AA5" s="131" t="s">
        <v>93</v>
      </c>
      <c r="AB5" s="43" t="s">
        <v>83</v>
      </c>
    </row>
    <row r="6" spans="2:39" ht="11.45" customHeight="1" x14ac:dyDescent="0.2">
      <c r="AA6" s="131" t="s">
        <v>94</v>
      </c>
      <c r="AB6" s="43" t="s">
        <v>84</v>
      </c>
    </row>
    <row r="7" spans="2:39" ht="11.45" customHeight="1" x14ac:dyDescent="0.2"/>
    <row r="8" spans="2:39" ht="11.45" customHeight="1" x14ac:dyDescent="0.2">
      <c r="B8" s="177" t="s">
        <v>110</v>
      </c>
      <c r="F8" s="177" t="s">
        <v>84</v>
      </c>
      <c r="G8" s="123"/>
      <c r="H8" s="129"/>
      <c r="AB8" s="120" t="s">
        <v>88</v>
      </c>
      <c r="AH8" s="120" t="s">
        <v>95</v>
      </c>
    </row>
    <row r="9" spans="2:39" ht="13.9" customHeight="1" x14ac:dyDescent="0.25">
      <c r="B9" s="104" t="s">
        <v>85</v>
      </c>
      <c r="C9" s="121">
        <f>+Calc_Press_pc_SGg(1,$C$3,$H$3,$H$4,$H$5)</f>
        <v>665.71136000000001</v>
      </c>
      <c r="D9" s="124" t="s">
        <v>31</v>
      </c>
      <c r="F9" s="104" t="s">
        <v>85</v>
      </c>
      <c r="G9" s="121">
        <f>+Calc_Press_pc_SGg(6,$C$3,$H$3,$H$4,$H$5)</f>
        <v>669.67576000000008</v>
      </c>
      <c r="H9" s="124" t="s">
        <v>31</v>
      </c>
      <c r="AA9" s="132" t="s">
        <v>87</v>
      </c>
      <c r="AB9" s="144" t="s">
        <v>89</v>
      </c>
      <c r="AC9" s="142" t="s">
        <v>90</v>
      </c>
      <c r="AD9" s="142" t="s">
        <v>91</v>
      </c>
      <c r="AE9" s="142" t="s">
        <v>92</v>
      </c>
      <c r="AF9" s="142" t="s">
        <v>93</v>
      </c>
      <c r="AG9" s="143" t="s">
        <v>94</v>
      </c>
      <c r="AH9" s="148" t="s">
        <v>89</v>
      </c>
      <c r="AI9" s="149" t="s">
        <v>90</v>
      </c>
      <c r="AJ9" s="149" t="s">
        <v>91</v>
      </c>
      <c r="AK9" s="149" t="s">
        <v>92</v>
      </c>
      <c r="AL9" s="149" t="s">
        <v>93</v>
      </c>
      <c r="AM9" s="150" t="s">
        <v>94</v>
      </c>
    </row>
    <row r="10" spans="2:39" ht="13.9" customHeight="1" x14ac:dyDescent="0.25">
      <c r="B10" s="127" t="s">
        <v>86</v>
      </c>
      <c r="C10" s="122">
        <f>Calc_TEMPERATURE_pc_SGg(1,$C$3,$H$3,$H$4,$H$5)</f>
        <v>378.33840000000004</v>
      </c>
      <c r="D10" s="128" t="s">
        <v>68</v>
      </c>
      <c r="F10" s="127" t="s">
        <v>86</v>
      </c>
      <c r="G10" s="122">
        <f>Calc_TEMPERATURE_pc_SGg(6,$C$3,$H$3,$H$4,$H$5)</f>
        <v>379.48492000000005</v>
      </c>
      <c r="H10" s="128" t="s">
        <v>68</v>
      </c>
      <c r="AA10" s="133">
        <v>0.5</v>
      </c>
      <c r="AB10" s="145">
        <f t="shared" ref="AB10:AB20" si="0">Calc_Press_pc_SGg(1,$AA10,$H$3,$H$4,$H$5)</f>
        <v>677.375</v>
      </c>
      <c r="AC10" s="134">
        <f t="shared" ref="AC10:AC20" si="1">Calc_Press_pc_SGg(2,$AA10,$H$3,$H$4,$H$5)</f>
        <v>690.4</v>
      </c>
      <c r="AD10" s="134">
        <f t="shared" ref="AD10:AD20" si="2">Calc_Press_pc_SGg(3,$AA10,$H$3,$H$4,$H$5)</f>
        <v>678</v>
      </c>
      <c r="AE10" s="134">
        <f t="shared" ref="AE10:AE20" si="3">Calc_Press_pc_SGg(4,$AA10,$H$3,$H$4,$H$5)</f>
        <v>696.7188547768701</v>
      </c>
      <c r="AF10" s="134">
        <f t="shared" ref="AF10:AF20" si="4">Calc_Press_pc_SGg(5,$AA10,$H$3,$H$4,$H$5)</f>
        <v>711.41099999999994</v>
      </c>
      <c r="AG10" s="135">
        <f>Calc_Press_pc_SGg(6,$AA10,$H$3,$H$4,$H$5)</f>
        <v>680.245</v>
      </c>
      <c r="AH10" s="145">
        <f t="shared" ref="AH10:AH20" si="5">Calc_TEMPERATURE_pc_SGg(1,$AA10,$H$3,$H$4,$H$5)</f>
        <v>334.125</v>
      </c>
      <c r="AI10" s="134">
        <f t="shared" ref="AI10:AI20" si="6">Calc_TEMPERATURE_pc_SGg(2,$AA10,$H$3,$H$4,$H$5)</f>
        <v>325.45</v>
      </c>
      <c r="AJ10" s="134">
        <f t="shared" ref="AJ10:AJ20" si="7">Calc_TEMPERATURE_pc_SGg(3,$AA10,$H$3,$H$4,$H$5)</f>
        <v>326</v>
      </c>
      <c r="AK10" s="134">
        <f t="shared" ref="AK10:AK20" si="8">Calc_TEMPERATURE_pc_SGg(4,$AA10,$H$3,$H$4,$H$5)</f>
        <v>309.77217615575921</v>
      </c>
      <c r="AL10" s="134">
        <f t="shared" ref="AL10:AL20" si="9">Calc_TEMPERATURE_pc_SGg(5,$AA10,$H$3,$H$4,$H$5)</f>
        <v>311.50599999999997</v>
      </c>
      <c r="AM10" s="135">
        <f t="shared" ref="AM10:AM20" si="10">Calc_TEMPERATURE_pc_SGg(6,$AA10,$H$3,$H$4,$H$5)</f>
        <v>324.16300000000001</v>
      </c>
    </row>
    <row r="11" spans="2:39" ht="13.9" customHeight="1" x14ac:dyDescent="0.25">
      <c r="B11" s="156" t="s">
        <v>97</v>
      </c>
      <c r="C11" s="157">
        <f>+(C9*C12)/(C10+$C$35*(1-$C$35)*$C$36)</f>
        <v>665.71136000000001</v>
      </c>
      <c r="D11" s="158" t="s">
        <v>31</v>
      </c>
      <c r="F11" s="156" t="s">
        <v>97</v>
      </c>
      <c r="G11" s="157">
        <f>+(G9*G12)/(G10+$C$35*(1-$C$35)*$C$36)</f>
        <v>669.67576000000008</v>
      </c>
      <c r="H11" s="158" t="s">
        <v>31</v>
      </c>
      <c r="AA11" s="136">
        <v>0.55000000000000004</v>
      </c>
      <c r="AB11" s="146">
        <f t="shared" si="0"/>
        <v>674.20725000000004</v>
      </c>
      <c r="AC11" s="137">
        <f t="shared" si="1"/>
        <v>683.66099999999994</v>
      </c>
      <c r="AD11" s="137">
        <f t="shared" si="2"/>
        <v>675.5</v>
      </c>
      <c r="AE11" s="137">
        <f t="shared" si="3"/>
        <v>686.43561534899288</v>
      </c>
      <c r="AF11" s="137">
        <f t="shared" si="4"/>
        <v>703.62840999999992</v>
      </c>
      <c r="AG11" s="138">
        <f t="shared" ref="AG11:AG20" si="11">Calc_Press_pc_SGg(6,$AA11,$H$3,$H$4,$H$5)</f>
        <v>677.30910000000006</v>
      </c>
      <c r="AH11" s="146">
        <f t="shared" si="5"/>
        <v>346.87125000000003</v>
      </c>
      <c r="AI11" s="137">
        <f t="shared" si="6"/>
        <v>339.04</v>
      </c>
      <c r="AJ11" s="137">
        <f t="shared" si="7"/>
        <v>341.78500000000003</v>
      </c>
      <c r="AK11" s="137">
        <f t="shared" si="8"/>
        <v>325.89348211902416</v>
      </c>
      <c r="AL11" s="137">
        <f t="shared" si="9"/>
        <v>325.89676000000003</v>
      </c>
      <c r="AM11" s="138">
        <f t="shared" si="10"/>
        <v>339.53020000000004</v>
      </c>
    </row>
    <row r="12" spans="2:39" ht="13.9" customHeight="1" x14ac:dyDescent="0.25">
      <c r="B12" s="159" t="s">
        <v>98</v>
      </c>
      <c r="C12" s="160">
        <f>+C10-$C$36</f>
        <v>378.33840000000004</v>
      </c>
      <c r="D12" s="161" t="s">
        <v>68</v>
      </c>
      <c r="F12" s="159" t="s">
        <v>98</v>
      </c>
      <c r="G12" s="160">
        <f>+G10-$C$36</f>
        <v>379.48492000000005</v>
      </c>
      <c r="H12" s="161" t="s">
        <v>68</v>
      </c>
      <c r="AA12" s="136">
        <v>0.6</v>
      </c>
      <c r="AB12" s="146">
        <f t="shared" si="0"/>
        <v>670.98400000000004</v>
      </c>
      <c r="AC12" s="137">
        <f t="shared" si="1"/>
        <v>676.904</v>
      </c>
      <c r="AD12" s="137">
        <f t="shared" si="2"/>
        <v>673</v>
      </c>
      <c r="AE12" s="137">
        <f t="shared" si="3"/>
        <v>677.11754210612526</v>
      </c>
      <c r="AF12" s="137">
        <f t="shared" si="4"/>
        <v>695.80624</v>
      </c>
      <c r="AG12" s="138">
        <f t="shared" si="11"/>
        <v>674.3732</v>
      </c>
      <c r="AH12" s="146">
        <f t="shared" si="5"/>
        <v>359.26</v>
      </c>
      <c r="AI12" s="137">
        <f t="shared" si="6"/>
        <v>352.26</v>
      </c>
      <c r="AJ12" s="137">
        <f t="shared" si="7"/>
        <v>357.57</v>
      </c>
      <c r="AK12" s="137">
        <f t="shared" si="8"/>
        <v>341.54559070069604</v>
      </c>
      <c r="AL12" s="137">
        <f t="shared" si="9"/>
        <v>339.95263999999997</v>
      </c>
      <c r="AM12" s="138">
        <f t="shared" si="10"/>
        <v>354.8974</v>
      </c>
    </row>
    <row r="13" spans="2:39" ht="13.9" customHeight="1" x14ac:dyDescent="0.2">
      <c r="B13" s="126"/>
      <c r="C13" s="123"/>
      <c r="D13" s="129"/>
      <c r="F13" s="126"/>
      <c r="G13" s="123"/>
      <c r="H13" s="129"/>
      <c r="AA13" s="136">
        <v>0.65</v>
      </c>
      <c r="AB13" s="146">
        <f t="shared" si="0"/>
        <v>667.70524999999998</v>
      </c>
      <c r="AC13" s="137">
        <f t="shared" si="1"/>
        <v>670.12899999999991</v>
      </c>
      <c r="AD13" s="137">
        <f t="shared" si="2"/>
        <v>670.5</v>
      </c>
      <c r="AE13" s="137">
        <f t="shared" si="3"/>
        <v>668.57328773148208</v>
      </c>
      <c r="AF13" s="137">
        <f t="shared" si="4"/>
        <v>687.94448999999997</v>
      </c>
      <c r="AG13" s="138">
        <f t="shared" si="11"/>
        <v>671.43730000000005</v>
      </c>
      <c r="AH13" s="146">
        <f t="shared" si="5"/>
        <v>371.29124999999999</v>
      </c>
      <c r="AI13" s="137">
        <f t="shared" si="6"/>
        <v>365.11</v>
      </c>
      <c r="AJ13" s="137">
        <f t="shared" si="7"/>
        <v>373.35500000000002</v>
      </c>
      <c r="AK13" s="137">
        <f t="shared" si="8"/>
        <v>356.7261479652272</v>
      </c>
      <c r="AL13" s="137">
        <f t="shared" si="9"/>
        <v>353.67363999999998</v>
      </c>
      <c r="AM13" s="138">
        <f t="shared" si="10"/>
        <v>370.26460000000003</v>
      </c>
    </row>
    <row r="14" spans="2:39" ht="13.9" customHeight="1" x14ac:dyDescent="0.2">
      <c r="B14" s="177" t="s">
        <v>111</v>
      </c>
      <c r="F14" s="177" t="s">
        <v>83</v>
      </c>
      <c r="G14" s="123"/>
      <c r="H14" s="129"/>
      <c r="AA14" s="136">
        <v>0.7</v>
      </c>
      <c r="AB14" s="146">
        <f t="shared" si="0"/>
        <v>664.37099999999998</v>
      </c>
      <c r="AC14" s="137">
        <f t="shared" si="1"/>
        <v>663.33600000000001</v>
      </c>
      <c r="AD14" s="137">
        <f t="shared" si="2"/>
        <v>668</v>
      </c>
      <c r="AE14" s="137">
        <f t="shared" si="3"/>
        <v>660.65697927418717</v>
      </c>
      <c r="AF14" s="137">
        <f t="shared" si="4"/>
        <v>680.04315999999994</v>
      </c>
      <c r="AG14" s="138">
        <f t="shared" si="11"/>
        <v>668.50139999999999</v>
      </c>
      <c r="AH14" s="146">
        <f t="shared" si="5"/>
        <v>382.96499999999997</v>
      </c>
      <c r="AI14" s="137">
        <f t="shared" si="6"/>
        <v>377.59</v>
      </c>
      <c r="AJ14" s="137">
        <f t="shared" si="7"/>
        <v>389.14</v>
      </c>
      <c r="AK14" s="137">
        <f t="shared" si="8"/>
        <v>371.43355608235521</v>
      </c>
      <c r="AL14" s="137">
        <f t="shared" si="9"/>
        <v>367.05975999999998</v>
      </c>
      <c r="AM14" s="138">
        <f t="shared" si="10"/>
        <v>385.6318</v>
      </c>
    </row>
    <row r="15" spans="2:39" ht="13.9" customHeight="1" x14ac:dyDescent="0.25">
      <c r="B15" s="104" t="s">
        <v>85</v>
      </c>
      <c r="C15" s="121">
        <f>+Calc_Press_pc_SGg(7,$C$3,$H$3,$H$4,$H$5)</f>
        <v>669.86</v>
      </c>
      <c r="D15" s="124" t="s">
        <v>31</v>
      </c>
      <c r="F15" s="104" t="s">
        <v>85</v>
      </c>
      <c r="G15" s="121">
        <f>+Calc_Press_pc_SGg(5,$C$3,$H$3,$H$4,$H$5)</f>
        <v>683.2084415999999</v>
      </c>
      <c r="H15" s="124" t="s">
        <v>31</v>
      </c>
      <c r="AA15" s="136">
        <v>0.75</v>
      </c>
      <c r="AB15" s="146">
        <f t="shared" si="0"/>
        <v>660.98125000000005</v>
      </c>
      <c r="AC15" s="137">
        <f t="shared" si="1"/>
        <v>656.52499999999998</v>
      </c>
      <c r="AD15" s="137">
        <f t="shared" si="2"/>
        <v>665.5</v>
      </c>
      <c r="AE15" s="137">
        <f t="shared" si="3"/>
        <v>653.25542380590798</v>
      </c>
      <c r="AF15" s="137">
        <f t="shared" si="4"/>
        <v>672.10224999999991</v>
      </c>
      <c r="AG15" s="138">
        <f t="shared" si="11"/>
        <v>665.56550000000004</v>
      </c>
      <c r="AH15" s="146">
        <f t="shared" si="5"/>
        <v>394.28125</v>
      </c>
      <c r="AI15" s="137">
        <f t="shared" si="6"/>
        <v>389.7</v>
      </c>
      <c r="AJ15" s="137">
        <f t="shared" si="7"/>
        <v>404.92500000000001</v>
      </c>
      <c r="AK15" s="137">
        <f t="shared" si="8"/>
        <v>385.66677319794064</v>
      </c>
      <c r="AL15" s="137">
        <f t="shared" si="9"/>
        <v>380.11099999999999</v>
      </c>
      <c r="AM15" s="138">
        <f t="shared" si="10"/>
        <v>400.99900000000002</v>
      </c>
    </row>
    <row r="16" spans="2:39" ht="13.9" customHeight="1" x14ac:dyDescent="0.25">
      <c r="B16" s="127" t="s">
        <v>86</v>
      </c>
      <c r="C16" s="122">
        <f>Calc_TEMPERATURE_pc_SGg(7,$C$3,$H$3,$H$4,$H$5)</f>
        <v>383.22</v>
      </c>
      <c r="D16" s="128" t="s">
        <v>68</v>
      </c>
      <c r="F16" s="127" t="s">
        <v>86</v>
      </c>
      <c r="G16" s="122">
        <f>Calc_TEMPERATURE_pc_SGg(5,$C$3,$H$3,$H$4,$H$5)</f>
        <v>361.74549760000002</v>
      </c>
      <c r="H16" s="128" t="s">
        <v>68</v>
      </c>
      <c r="AA16" s="136">
        <v>0.8</v>
      </c>
      <c r="AB16" s="146">
        <f t="shared" si="0"/>
        <v>657.53599999999994</v>
      </c>
      <c r="AC16" s="137">
        <f t="shared" si="1"/>
        <v>649.69599999999991</v>
      </c>
      <c r="AD16" s="137">
        <f t="shared" si="2"/>
        <v>663</v>
      </c>
      <c r="AE16" s="137">
        <f t="shared" si="3"/>
        <v>646.27940008514156</v>
      </c>
      <c r="AF16" s="137">
        <f t="shared" si="4"/>
        <v>664.12175999999988</v>
      </c>
      <c r="AG16" s="138">
        <f t="shared" si="11"/>
        <v>662.62959999999998</v>
      </c>
      <c r="AH16" s="146">
        <f t="shared" si="5"/>
        <v>405.24</v>
      </c>
      <c r="AI16" s="137">
        <f t="shared" si="6"/>
        <v>401.44</v>
      </c>
      <c r="AJ16" s="137">
        <f t="shared" si="7"/>
        <v>420.71000000000004</v>
      </c>
      <c r="AK16" s="137">
        <f t="shared" si="8"/>
        <v>399.42517616746875</v>
      </c>
      <c r="AL16" s="137">
        <f t="shared" si="9"/>
        <v>392.82736</v>
      </c>
      <c r="AM16" s="138">
        <f t="shared" si="10"/>
        <v>416.36620000000005</v>
      </c>
    </row>
    <row r="17" spans="2:39" ht="13.9" customHeight="1" x14ac:dyDescent="0.25">
      <c r="B17" s="156" t="s">
        <v>97</v>
      </c>
      <c r="C17" s="157">
        <f>+(C15*C18)/(C16+$C$35*(1-$C$35)*$C$36)</f>
        <v>669.86</v>
      </c>
      <c r="D17" s="158" t="s">
        <v>31</v>
      </c>
      <c r="F17" s="156" t="s">
        <v>97</v>
      </c>
      <c r="G17" s="157">
        <f>+(G15*G18)/(G16+$C$35*(1-$C$35)*$C$36)</f>
        <v>683.2084415999999</v>
      </c>
      <c r="H17" s="158" t="s">
        <v>31</v>
      </c>
      <c r="AA17" s="136">
        <v>0.85</v>
      </c>
      <c r="AB17" s="146">
        <f t="shared" si="0"/>
        <v>654.03525000000002</v>
      </c>
      <c r="AC17" s="137">
        <f t="shared" si="1"/>
        <v>642.84899999999993</v>
      </c>
      <c r="AD17" s="137">
        <f t="shared" si="2"/>
        <v>660.5</v>
      </c>
      <c r="AE17" s="137">
        <f t="shared" si="3"/>
        <v>639.65759133704353</v>
      </c>
      <c r="AF17" s="137">
        <f t="shared" si="4"/>
        <v>656.10168999999996</v>
      </c>
      <c r="AG17" s="138">
        <f t="shared" si="11"/>
        <v>659.69370000000004</v>
      </c>
      <c r="AH17" s="146">
        <f t="shared" si="5"/>
        <v>415.84125</v>
      </c>
      <c r="AI17" s="137">
        <f t="shared" si="6"/>
        <v>412.81</v>
      </c>
      <c r="AJ17" s="137">
        <f t="shared" si="7"/>
        <v>436.495</v>
      </c>
      <c r="AK17" s="137">
        <f t="shared" si="8"/>
        <v>412.70846438848969</v>
      </c>
      <c r="AL17" s="137">
        <f t="shared" si="9"/>
        <v>405.20884000000001</v>
      </c>
      <c r="AM17" s="138">
        <f t="shared" si="10"/>
        <v>431.73340000000002</v>
      </c>
    </row>
    <row r="18" spans="2:39" ht="13.9" customHeight="1" x14ac:dyDescent="0.25">
      <c r="B18" s="159" t="s">
        <v>98</v>
      </c>
      <c r="C18" s="160">
        <f>+C16-$C$36</f>
        <v>383.22</v>
      </c>
      <c r="D18" s="161" t="s">
        <v>68</v>
      </c>
      <c r="F18" s="159" t="s">
        <v>98</v>
      </c>
      <c r="G18" s="160">
        <f>+G16-$C$36</f>
        <v>361.74549760000002</v>
      </c>
      <c r="H18" s="161" t="s">
        <v>68</v>
      </c>
      <c r="AA18" s="136">
        <v>0.9</v>
      </c>
      <c r="AB18" s="146">
        <f t="shared" si="0"/>
        <v>650.47900000000004</v>
      </c>
      <c r="AC18" s="137">
        <f t="shared" si="1"/>
        <v>635.98399999999992</v>
      </c>
      <c r="AD18" s="137">
        <f t="shared" si="2"/>
        <v>658</v>
      </c>
      <c r="AE18" s="137">
        <f t="shared" si="3"/>
        <v>633.33226990381149</v>
      </c>
      <c r="AF18" s="137">
        <f t="shared" si="4"/>
        <v>648.04203999999993</v>
      </c>
      <c r="AG18" s="138">
        <f t="shared" si="11"/>
        <v>656.75780000000009</v>
      </c>
      <c r="AH18" s="146">
        <f t="shared" si="5"/>
        <v>426.08499999999998</v>
      </c>
      <c r="AI18" s="137">
        <f t="shared" si="6"/>
        <v>423.81</v>
      </c>
      <c r="AJ18" s="137">
        <f t="shared" si="7"/>
        <v>452.28000000000003</v>
      </c>
      <c r="AK18" s="137">
        <f t="shared" si="8"/>
        <v>425.51659118088003</v>
      </c>
      <c r="AL18" s="137">
        <f t="shared" si="9"/>
        <v>417.25544000000002</v>
      </c>
      <c r="AM18" s="138">
        <f t="shared" si="10"/>
        <v>447.10060000000004</v>
      </c>
    </row>
    <row r="19" spans="2:39" ht="13.9" customHeight="1" x14ac:dyDescent="0.2">
      <c r="F19" s="126"/>
      <c r="G19" s="123"/>
      <c r="H19" s="129"/>
      <c r="AA19" s="136">
        <v>0.95</v>
      </c>
      <c r="AB19" s="146">
        <f t="shared" si="0"/>
        <v>646.86725000000001</v>
      </c>
      <c r="AC19" s="137">
        <f t="shared" si="1"/>
        <v>629.101</v>
      </c>
      <c r="AD19" s="137">
        <f t="shared" si="2"/>
        <v>655.5</v>
      </c>
      <c r="AE19" s="137">
        <f t="shared" si="3"/>
        <v>627.25617087835815</v>
      </c>
      <c r="AF19" s="137">
        <f t="shared" si="4"/>
        <v>639.94280999999989</v>
      </c>
      <c r="AG19" s="138">
        <f t="shared" si="11"/>
        <v>653.82190000000003</v>
      </c>
      <c r="AH19" s="146">
        <f t="shared" si="5"/>
        <v>435.97125</v>
      </c>
      <c r="AI19" s="137">
        <f t="shared" si="6"/>
        <v>434.44</v>
      </c>
      <c r="AJ19" s="137">
        <f t="shared" si="7"/>
        <v>468.065</v>
      </c>
      <c r="AK19" s="137">
        <f t="shared" si="8"/>
        <v>437.84971404749916</v>
      </c>
      <c r="AL19" s="137">
        <f t="shared" si="9"/>
        <v>428.96715999999998</v>
      </c>
      <c r="AM19" s="138">
        <f t="shared" si="10"/>
        <v>462.46780000000001</v>
      </c>
    </row>
    <row r="20" spans="2:39" ht="13.9" customHeight="1" x14ac:dyDescent="0.2">
      <c r="B20" s="177" t="s">
        <v>80</v>
      </c>
      <c r="C20" s="123"/>
      <c r="D20" s="129"/>
      <c r="F20" s="125" t="s">
        <v>82</v>
      </c>
      <c r="AA20" s="139">
        <v>1</v>
      </c>
      <c r="AB20" s="147">
        <f t="shared" si="0"/>
        <v>643.20000000000005</v>
      </c>
      <c r="AC20" s="140">
        <f t="shared" si="1"/>
        <v>622.19999999999993</v>
      </c>
      <c r="AD20" s="140">
        <f t="shared" si="2"/>
        <v>653</v>
      </c>
      <c r="AE20" s="140">
        <f t="shared" si="3"/>
        <v>621.39018939451489</v>
      </c>
      <c r="AF20" s="140">
        <f t="shared" si="4"/>
        <v>631.80399999999997</v>
      </c>
      <c r="AG20" s="141">
        <f t="shared" si="11"/>
        <v>650.88600000000008</v>
      </c>
      <c r="AH20" s="147">
        <f t="shared" si="5"/>
        <v>445.5</v>
      </c>
      <c r="AI20" s="140">
        <f t="shared" si="6"/>
        <v>444.7</v>
      </c>
      <c r="AJ20" s="140">
        <f t="shared" si="7"/>
        <v>483.85</v>
      </c>
      <c r="AK20" s="140">
        <f t="shared" si="8"/>
        <v>449.70815813727256</v>
      </c>
      <c r="AL20" s="140">
        <f t="shared" si="9"/>
        <v>440.34399999999999</v>
      </c>
      <c r="AM20" s="141">
        <f t="shared" si="10"/>
        <v>477.83500000000004</v>
      </c>
    </row>
    <row r="21" spans="2:39" ht="13.9" customHeight="1" x14ac:dyDescent="0.25">
      <c r="B21" s="104" t="s">
        <v>85</v>
      </c>
      <c r="C21" s="121">
        <f>+Calc_Press_pc_SGg(2,$C$3,$H$3,$H$4,$H$5)</f>
        <v>666.05535999999995</v>
      </c>
      <c r="D21" s="124" t="s">
        <v>31</v>
      </c>
      <c r="F21" s="104" t="s">
        <v>85</v>
      </c>
      <c r="G21" s="121">
        <f>+Calc_Press_pc_SGg(4,$C$3,$H$3,$H$4,$H$5)</f>
        <v>663.75600923446655</v>
      </c>
      <c r="H21" s="124" t="s">
        <v>31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2:39" ht="13.9" customHeight="1" x14ac:dyDescent="0.25">
      <c r="B22" s="127" t="s">
        <v>86</v>
      </c>
      <c r="C22" s="122">
        <f>Calc_TEMPERATURE_pc_SGg(2,$C$3,$H$3,$H$4,$H$5)</f>
        <v>372.64240000000001</v>
      </c>
      <c r="D22" s="128" t="s">
        <v>68</v>
      </c>
      <c r="F22" s="127" t="s">
        <v>86</v>
      </c>
      <c r="G22" s="122">
        <f>Calc_TEMPERATURE_pc_SGg(4,$C$3,$H$3,$H$4,$H$5)</f>
        <v>365.6074480366554</v>
      </c>
      <c r="H22" s="128" t="s">
        <v>68</v>
      </c>
      <c r="Z22"/>
      <c r="AA22" s="320" t="s">
        <v>99</v>
      </c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  <c r="AL22" s="321"/>
      <c r="AM22" s="322"/>
    </row>
    <row r="23" spans="2:39" ht="13.5" x14ac:dyDescent="0.25">
      <c r="B23" s="156" t="s">
        <v>97</v>
      </c>
      <c r="C23" s="157">
        <f>+(C21*C24)/(C22+$C$35*(1-$C$35)*$C$36)</f>
        <v>666.05535999999995</v>
      </c>
      <c r="D23" s="158" t="s">
        <v>31</v>
      </c>
      <c r="E23"/>
      <c r="F23"/>
      <c r="G23"/>
      <c r="H23"/>
      <c r="Z23"/>
      <c r="AA23" s="323" t="s">
        <v>87</v>
      </c>
      <c r="AB23" s="178" t="s">
        <v>88</v>
      </c>
      <c r="AC23" s="179"/>
      <c r="AD23" s="179"/>
      <c r="AE23" s="179"/>
      <c r="AF23" s="179"/>
      <c r="AG23" s="180"/>
      <c r="AH23" s="178" t="s">
        <v>95</v>
      </c>
      <c r="AI23" s="179"/>
      <c r="AJ23" s="179"/>
      <c r="AK23" s="179"/>
      <c r="AL23" s="179"/>
      <c r="AM23" s="180"/>
    </row>
    <row r="24" spans="2:39" ht="13.5" x14ac:dyDescent="0.25">
      <c r="B24" s="159" t="s">
        <v>98</v>
      </c>
      <c r="C24" s="160">
        <f>+C22-$C$36</f>
        <v>372.64240000000001</v>
      </c>
      <c r="D24" s="161" t="s">
        <v>68</v>
      </c>
      <c r="E24"/>
      <c r="F24" s="182"/>
      <c r="G24" s="183"/>
      <c r="H24" s="184"/>
      <c r="Z24"/>
      <c r="AA24" s="324"/>
      <c r="AB24" s="144" t="s">
        <v>89</v>
      </c>
      <c r="AC24" s="142" t="s">
        <v>90</v>
      </c>
      <c r="AD24" s="142" t="s">
        <v>91</v>
      </c>
      <c r="AE24" s="142" t="s">
        <v>92</v>
      </c>
      <c r="AF24" s="142" t="s">
        <v>93</v>
      </c>
      <c r="AG24" s="143" t="s">
        <v>94</v>
      </c>
      <c r="AH24" s="148" t="s">
        <v>89</v>
      </c>
      <c r="AI24" s="149" t="s">
        <v>90</v>
      </c>
      <c r="AJ24" s="149" t="s">
        <v>91</v>
      </c>
      <c r="AK24" s="149" t="s">
        <v>92</v>
      </c>
      <c r="AL24" s="149" t="s">
        <v>93</v>
      </c>
      <c r="AM24" s="150" t="s">
        <v>94</v>
      </c>
    </row>
    <row r="25" spans="2:39" x14ac:dyDescent="0.2">
      <c r="B25" s="126"/>
      <c r="C25" s="123"/>
      <c r="D25" s="129"/>
      <c r="F25" s="185"/>
      <c r="G25"/>
      <c r="H25" s="186"/>
      <c r="Z25"/>
      <c r="AA25" s="133">
        <v>0.5</v>
      </c>
      <c r="AB25" s="145">
        <f t="shared" ref="AB25:AB35" si="12">(AB10*AH25)/(AH10+$C$35*(1-$C$35)*$C$36)</f>
        <v>677.375</v>
      </c>
      <c r="AC25" s="134">
        <f t="shared" ref="AC25:AC35" si="13">(AC10*AI25)/(AI10+$C$35*(1-$C$35)*$C$36)</f>
        <v>690.4</v>
      </c>
      <c r="AD25" s="134">
        <f t="shared" ref="AD25:AE35" si="14">AD10</f>
        <v>678</v>
      </c>
      <c r="AE25" s="134">
        <f t="shared" si="14"/>
        <v>696.7188547768701</v>
      </c>
      <c r="AF25" s="134">
        <f t="shared" ref="AF25:AF35" si="15">(AF10*AL25)/(AL10+$C$35*(1-$C$35)*$C$36)</f>
        <v>711.41099999999994</v>
      </c>
      <c r="AG25" s="135">
        <f t="shared" ref="AG25:AG35" si="16">(AG10*AM25)/(AM10+$C$35*(1-$C$35)*$C$36)</f>
        <v>680.245</v>
      </c>
      <c r="AH25" s="145">
        <f t="shared" ref="AH25:AI35" si="17">(AH10-$C$36)</f>
        <v>334.125</v>
      </c>
      <c r="AI25" s="134">
        <f t="shared" si="17"/>
        <v>325.45</v>
      </c>
      <c r="AJ25" s="134">
        <f t="shared" ref="AJ25:AK35" si="18">AJ10</f>
        <v>326</v>
      </c>
      <c r="AK25" s="134">
        <f t="shared" si="18"/>
        <v>309.77217615575921</v>
      </c>
      <c r="AL25" s="134">
        <f t="shared" ref="AL25:AM35" si="19">(AL10-$C$36)</f>
        <v>311.50599999999997</v>
      </c>
      <c r="AM25" s="135">
        <f t="shared" si="19"/>
        <v>324.16300000000001</v>
      </c>
    </row>
    <row r="26" spans="2:39" x14ac:dyDescent="0.2">
      <c r="B26" s="125" t="s">
        <v>81</v>
      </c>
      <c r="C26" s="123"/>
      <c r="D26" s="129"/>
      <c r="F26" s="187"/>
      <c r="H26" s="188"/>
      <c r="Z26"/>
      <c r="AA26" s="136">
        <v>0.55000000000000004</v>
      </c>
      <c r="AB26" s="146">
        <f t="shared" si="12"/>
        <v>674.20725000000004</v>
      </c>
      <c r="AC26" s="137">
        <f t="shared" si="13"/>
        <v>683.66099999999994</v>
      </c>
      <c r="AD26" s="137">
        <f t="shared" si="14"/>
        <v>675.5</v>
      </c>
      <c r="AE26" s="137">
        <f t="shared" si="14"/>
        <v>686.43561534899288</v>
      </c>
      <c r="AF26" s="137">
        <f t="shared" si="15"/>
        <v>703.62840999999992</v>
      </c>
      <c r="AG26" s="138">
        <f t="shared" si="16"/>
        <v>677.30910000000006</v>
      </c>
      <c r="AH26" s="146">
        <f t="shared" si="17"/>
        <v>346.87125000000003</v>
      </c>
      <c r="AI26" s="137">
        <f t="shared" si="17"/>
        <v>339.04</v>
      </c>
      <c r="AJ26" s="137">
        <f t="shared" si="18"/>
        <v>341.78500000000003</v>
      </c>
      <c r="AK26" s="137">
        <f t="shared" si="18"/>
        <v>325.89348211902416</v>
      </c>
      <c r="AL26" s="137">
        <f t="shared" si="19"/>
        <v>325.89676000000003</v>
      </c>
      <c r="AM26" s="138">
        <f t="shared" si="19"/>
        <v>339.53020000000004</v>
      </c>
    </row>
    <row r="27" spans="2:39" ht="13.5" x14ac:dyDescent="0.25">
      <c r="B27" s="104" t="s">
        <v>85</v>
      </c>
      <c r="C27" s="121">
        <f>+Calc_Press_pc_SGg(3,$C$3,$H$3,$H$4,$H$5)</f>
        <v>669</v>
      </c>
      <c r="D27" s="124" t="s">
        <v>31</v>
      </c>
      <c r="F27" s="187"/>
      <c r="H27" s="188"/>
      <c r="AA27" s="136">
        <v>0.6</v>
      </c>
      <c r="AB27" s="146">
        <f t="shared" si="12"/>
        <v>670.98400000000004</v>
      </c>
      <c r="AC27" s="137">
        <f t="shared" si="13"/>
        <v>676.904</v>
      </c>
      <c r="AD27" s="137">
        <f t="shared" si="14"/>
        <v>673</v>
      </c>
      <c r="AE27" s="137">
        <f t="shared" si="14"/>
        <v>677.11754210612526</v>
      </c>
      <c r="AF27" s="137">
        <f t="shared" si="15"/>
        <v>695.80624</v>
      </c>
      <c r="AG27" s="138">
        <f t="shared" si="16"/>
        <v>674.3732</v>
      </c>
      <c r="AH27" s="146">
        <f t="shared" si="17"/>
        <v>359.26</v>
      </c>
      <c r="AI27" s="137">
        <f t="shared" si="17"/>
        <v>352.26</v>
      </c>
      <c r="AJ27" s="137">
        <f t="shared" si="18"/>
        <v>357.57</v>
      </c>
      <c r="AK27" s="137">
        <f t="shared" si="18"/>
        <v>341.54559070069604</v>
      </c>
      <c r="AL27" s="137">
        <f t="shared" si="19"/>
        <v>339.95263999999997</v>
      </c>
      <c r="AM27" s="138">
        <f t="shared" si="19"/>
        <v>354.8974</v>
      </c>
    </row>
    <row r="28" spans="2:39" ht="13.5" x14ac:dyDescent="0.25">
      <c r="B28" s="127" t="s">
        <v>86</v>
      </c>
      <c r="C28" s="122">
        <f>Calc_TEMPERATURE_pc_SGg(3,$C$3,$H$3,$H$4,$H$5)</f>
        <v>382.82600000000002</v>
      </c>
      <c r="D28" s="128" t="s">
        <v>68</v>
      </c>
      <c r="F28" s="187"/>
      <c r="H28" s="188"/>
      <c r="AA28" s="136">
        <v>0.65</v>
      </c>
      <c r="AB28" s="146">
        <f t="shared" si="12"/>
        <v>667.70524999999998</v>
      </c>
      <c r="AC28" s="137">
        <f t="shared" si="13"/>
        <v>670.12899999999991</v>
      </c>
      <c r="AD28" s="137">
        <f t="shared" si="14"/>
        <v>670.5</v>
      </c>
      <c r="AE28" s="137">
        <f t="shared" si="14"/>
        <v>668.57328773148208</v>
      </c>
      <c r="AF28" s="137">
        <f t="shared" si="15"/>
        <v>687.94448999999997</v>
      </c>
      <c r="AG28" s="138">
        <f t="shared" si="16"/>
        <v>671.43730000000005</v>
      </c>
      <c r="AH28" s="146">
        <f t="shared" si="17"/>
        <v>371.29124999999999</v>
      </c>
      <c r="AI28" s="137">
        <f t="shared" si="17"/>
        <v>365.11</v>
      </c>
      <c r="AJ28" s="137">
        <f t="shared" si="18"/>
        <v>373.35500000000002</v>
      </c>
      <c r="AK28" s="137">
        <f t="shared" si="18"/>
        <v>356.7261479652272</v>
      </c>
      <c r="AL28" s="137">
        <f t="shared" si="19"/>
        <v>353.67363999999998</v>
      </c>
      <c r="AM28" s="138">
        <f t="shared" si="19"/>
        <v>370.26460000000003</v>
      </c>
    </row>
    <row r="29" spans="2:39" x14ac:dyDescent="0.2">
      <c r="F29" s="187"/>
      <c r="H29" s="188"/>
      <c r="AA29" s="136">
        <v>0.7</v>
      </c>
      <c r="AB29" s="146">
        <f t="shared" si="12"/>
        <v>664.37099999999998</v>
      </c>
      <c r="AC29" s="137">
        <f t="shared" si="13"/>
        <v>663.33600000000001</v>
      </c>
      <c r="AD29" s="137">
        <f t="shared" si="14"/>
        <v>668</v>
      </c>
      <c r="AE29" s="137">
        <f t="shared" si="14"/>
        <v>660.65697927418717</v>
      </c>
      <c r="AF29" s="137">
        <f t="shared" si="15"/>
        <v>680.04315999999994</v>
      </c>
      <c r="AG29" s="138">
        <f t="shared" si="16"/>
        <v>668.50139999999999</v>
      </c>
      <c r="AH29" s="146">
        <f t="shared" si="17"/>
        <v>382.96499999999997</v>
      </c>
      <c r="AI29" s="137">
        <f t="shared" si="17"/>
        <v>377.59</v>
      </c>
      <c r="AJ29" s="137">
        <f t="shared" si="18"/>
        <v>389.14</v>
      </c>
      <c r="AK29" s="137">
        <f t="shared" si="18"/>
        <v>371.43355608235521</v>
      </c>
      <c r="AL29" s="137">
        <f t="shared" si="19"/>
        <v>367.05975999999998</v>
      </c>
      <c r="AM29" s="138">
        <f t="shared" si="19"/>
        <v>385.6318</v>
      </c>
    </row>
    <row r="30" spans="2:39" x14ac:dyDescent="0.2">
      <c r="F30" s="187"/>
      <c r="H30" s="188"/>
      <c r="AA30" s="136">
        <v>0.75</v>
      </c>
      <c r="AB30" s="146">
        <f t="shared" si="12"/>
        <v>660.98125000000005</v>
      </c>
      <c r="AC30" s="137">
        <f t="shared" si="13"/>
        <v>656.52499999999998</v>
      </c>
      <c r="AD30" s="137">
        <f t="shared" si="14"/>
        <v>665.5</v>
      </c>
      <c r="AE30" s="137">
        <f t="shared" si="14"/>
        <v>653.25542380590798</v>
      </c>
      <c r="AF30" s="137">
        <f t="shared" si="15"/>
        <v>672.10224999999991</v>
      </c>
      <c r="AG30" s="138">
        <f t="shared" si="16"/>
        <v>665.56550000000016</v>
      </c>
      <c r="AH30" s="146">
        <f t="shared" si="17"/>
        <v>394.28125</v>
      </c>
      <c r="AI30" s="137">
        <f t="shared" si="17"/>
        <v>389.7</v>
      </c>
      <c r="AJ30" s="137">
        <f t="shared" si="18"/>
        <v>404.92500000000001</v>
      </c>
      <c r="AK30" s="137">
        <f t="shared" si="18"/>
        <v>385.66677319794064</v>
      </c>
      <c r="AL30" s="137">
        <f t="shared" si="19"/>
        <v>380.11099999999999</v>
      </c>
      <c r="AM30" s="138">
        <f t="shared" si="19"/>
        <v>400.99900000000002</v>
      </c>
    </row>
    <row r="31" spans="2:39" ht="12.75" x14ac:dyDescent="0.2">
      <c r="B31" s="286" t="s">
        <v>69</v>
      </c>
      <c r="C31" s="287"/>
      <c r="D31" s="288"/>
      <c r="F31" s="187"/>
      <c r="H31" s="188"/>
      <c r="AA31" s="136">
        <v>0.8</v>
      </c>
      <c r="AB31" s="146">
        <f t="shared" si="12"/>
        <v>657.53599999999994</v>
      </c>
      <c r="AC31" s="137">
        <f t="shared" si="13"/>
        <v>649.69599999999991</v>
      </c>
      <c r="AD31" s="137">
        <f t="shared" si="14"/>
        <v>663</v>
      </c>
      <c r="AE31" s="137">
        <f t="shared" si="14"/>
        <v>646.27940008514156</v>
      </c>
      <c r="AF31" s="137">
        <f t="shared" si="15"/>
        <v>664.12175999999988</v>
      </c>
      <c r="AG31" s="138">
        <f t="shared" si="16"/>
        <v>662.62959999999998</v>
      </c>
      <c r="AH31" s="146">
        <f t="shared" si="17"/>
        <v>405.24</v>
      </c>
      <c r="AI31" s="137">
        <f t="shared" si="17"/>
        <v>401.44</v>
      </c>
      <c r="AJ31" s="137">
        <f t="shared" si="18"/>
        <v>420.71000000000004</v>
      </c>
      <c r="AK31" s="137">
        <f t="shared" si="18"/>
        <v>399.42517616746875</v>
      </c>
      <c r="AL31" s="137">
        <f t="shared" si="19"/>
        <v>392.82736</v>
      </c>
      <c r="AM31" s="138">
        <f t="shared" si="19"/>
        <v>416.36620000000005</v>
      </c>
    </row>
    <row r="32" spans="2:39" x14ac:dyDescent="0.2">
      <c r="B32" s="289" t="s">
        <v>70</v>
      </c>
      <c r="C32" s="290"/>
      <c r="D32" s="291"/>
      <c r="F32" s="187"/>
      <c r="H32" s="188"/>
      <c r="AA32" s="136">
        <v>0.85</v>
      </c>
      <c r="AB32" s="146">
        <f t="shared" si="12"/>
        <v>654.03525000000002</v>
      </c>
      <c r="AC32" s="137">
        <f t="shared" si="13"/>
        <v>642.84899999999993</v>
      </c>
      <c r="AD32" s="137">
        <f t="shared" si="14"/>
        <v>660.5</v>
      </c>
      <c r="AE32" s="137">
        <f t="shared" si="14"/>
        <v>639.65759133704353</v>
      </c>
      <c r="AF32" s="137">
        <f t="shared" si="15"/>
        <v>656.10168999999996</v>
      </c>
      <c r="AG32" s="138">
        <f t="shared" si="16"/>
        <v>659.69370000000004</v>
      </c>
      <c r="AH32" s="146">
        <f t="shared" si="17"/>
        <v>415.84125</v>
      </c>
      <c r="AI32" s="137">
        <f t="shared" si="17"/>
        <v>412.81</v>
      </c>
      <c r="AJ32" s="137">
        <f t="shared" si="18"/>
        <v>436.495</v>
      </c>
      <c r="AK32" s="137">
        <f t="shared" si="18"/>
        <v>412.70846438848969</v>
      </c>
      <c r="AL32" s="137">
        <f t="shared" si="19"/>
        <v>405.20884000000001</v>
      </c>
      <c r="AM32" s="138">
        <f t="shared" si="19"/>
        <v>431.73340000000002</v>
      </c>
    </row>
    <row r="33" spans="2:39" x14ac:dyDescent="0.2">
      <c r="B33" s="292"/>
      <c r="C33" s="293"/>
      <c r="D33" s="294"/>
      <c r="E33"/>
      <c r="F33" s="185"/>
      <c r="G33"/>
      <c r="H33" s="186"/>
      <c r="AA33" s="136">
        <v>0.9</v>
      </c>
      <c r="AB33" s="146">
        <f t="shared" si="12"/>
        <v>650.47900000000004</v>
      </c>
      <c r="AC33" s="137">
        <f t="shared" si="13"/>
        <v>635.98399999999992</v>
      </c>
      <c r="AD33" s="137">
        <f t="shared" si="14"/>
        <v>658</v>
      </c>
      <c r="AE33" s="137">
        <f t="shared" si="14"/>
        <v>633.33226990381149</v>
      </c>
      <c r="AF33" s="137">
        <f t="shared" si="15"/>
        <v>648.04203999999993</v>
      </c>
      <c r="AG33" s="138">
        <f t="shared" si="16"/>
        <v>656.75780000000009</v>
      </c>
      <c r="AH33" s="146">
        <f t="shared" si="17"/>
        <v>426.08499999999998</v>
      </c>
      <c r="AI33" s="137">
        <f t="shared" si="17"/>
        <v>423.81</v>
      </c>
      <c r="AJ33" s="137">
        <f t="shared" si="18"/>
        <v>452.28000000000003</v>
      </c>
      <c r="AK33" s="137">
        <f t="shared" si="18"/>
        <v>425.51659118088003</v>
      </c>
      <c r="AL33" s="137">
        <f t="shared" si="19"/>
        <v>417.25544000000002</v>
      </c>
      <c r="AM33" s="138">
        <f t="shared" si="19"/>
        <v>447.10060000000004</v>
      </c>
    </row>
    <row r="34" spans="2:39" x14ac:dyDescent="0.2">
      <c r="B34" s="153" t="s">
        <v>55</v>
      </c>
      <c r="C34" s="151">
        <f>+H3+H4</f>
        <v>0</v>
      </c>
      <c r="D34" s="152"/>
      <c r="F34" s="187"/>
      <c r="H34" s="188"/>
      <c r="AA34" s="136">
        <v>0.95</v>
      </c>
      <c r="AB34" s="146">
        <f t="shared" si="12"/>
        <v>646.86725000000001</v>
      </c>
      <c r="AC34" s="137">
        <f t="shared" si="13"/>
        <v>629.101</v>
      </c>
      <c r="AD34" s="137">
        <f t="shared" si="14"/>
        <v>655.5</v>
      </c>
      <c r="AE34" s="137">
        <f t="shared" si="14"/>
        <v>627.25617087835815</v>
      </c>
      <c r="AF34" s="137">
        <f t="shared" si="15"/>
        <v>639.94280999999989</v>
      </c>
      <c r="AG34" s="138">
        <f t="shared" si="16"/>
        <v>653.82190000000003</v>
      </c>
      <c r="AH34" s="146">
        <f t="shared" si="17"/>
        <v>435.97125</v>
      </c>
      <c r="AI34" s="137">
        <f t="shared" si="17"/>
        <v>434.44</v>
      </c>
      <c r="AJ34" s="137">
        <f t="shared" si="18"/>
        <v>468.065</v>
      </c>
      <c r="AK34" s="137">
        <f t="shared" si="18"/>
        <v>437.84971404749916</v>
      </c>
      <c r="AL34" s="137">
        <f t="shared" si="19"/>
        <v>428.96715999999998</v>
      </c>
      <c r="AM34" s="138">
        <f t="shared" si="19"/>
        <v>462.46780000000001</v>
      </c>
    </row>
    <row r="35" spans="2:39" x14ac:dyDescent="0.2">
      <c r="B35" s="153" t="s">
        <v>56</v>
      </c>
      <c r="C35" s="151">
        <f>+H4</f>
        <v>0</v>
      </c>
      <c r="D35" s="152"/>
      <c r="F35" s="187"/>
      <c r="H35" s="188"/>
      <c r="AA35" s="139">
        <v>1</v>
      </c>
      <c r="AB35" s="147">
        <f t="shared" si="12"/>
        <v>643.20000000000005</v>
      </c>
      <c r="AC35" s="140">
        <f t="shared" si="13"/>
        <v>622.19999999999993</v>
      </c>
      <c r="AD35" s="140">
        <f t="shared" si="14"/>
        <v>653</v>
      </c>
      <c r="AE35" s="140">
        <f t="shared" si="14"/>
        <v>621.39018939451489</v>
      </c>
      <c r="AF35" s="140">
        <f t="shared" si="15"/>
        <v>631.80399999999997</v>
      </c>
      <c r="AG35" s="141">
        <f t="shared" si="16"/>
        <v>650.88600000000008</v>
      </c>
      <c r="AH35" s="147">
        <f t="shared" si="17"/>
        <v>445.5</v>
      </c>
      <c r="AI35" s="140">
        <f t="shared" si="17"/>
        <v>444.7</v>
      </c>
      <c r="AJ35" s="140">
        <f t="shared" si="18"/>
        <v>483.85</v>
      </c>
      <c r="AK35" s="140">
        <f t="shared" si="18"/>
        <v>449.70815813727256</v>
      </c>
      <c r="AL35" s="140">
        <f t="shared" si="19"/>
        <v>440.34399999999999</v>
      </c>
      <c r="AM35" s="141">
        <f t="shared" si="19"/>
        <v>477.83500000000004</v>
      </c>
    </row>
    <row r="36" spans="2:39" x14ac:dyDescent="0.2">
      <c r="B36" s="154" t="s">
        <v>96</v>
      </c>
      <c r="C36" s="155">
        <f>120*(C34^0.9-C34^1.6)+15*(C35^0.5-C35^4)</f>
        <v>0</v>
      </c>
      <c r="D36" s="181" t="s">
        <v>68</v>
      </c>
      <c r="F36" s="189"/>
      <c r="G36" s="190"/>
      <c r="H36" s="191"/>
    </row>
    <row r="37" spans="2:39" x14ac:dyDescent="0.2">
      <c r="B37"/>
      <c r="C37"/>
      <c r="D37"/>
      <c r="E37"/>
      <c r="F37"/>
      <c r="G37"/>
      <c r="H37"/>
    </row>
    <row r="38" spans="2:39" x14ac:dyDescent="0.2">
      <c r="B38"/>
      <c r="C38"/>
      <c r="D38"/>
      <c r="E38"/>
      <c r="F38"/>
      <c r="G38"/>
      <c r="H38"/>
    </row>
    <row r="39" spans="2:39" x14ac:dyDescent="0.2">
      <c r="B39"/>
      <c r="C39"/>
      <c r="D39"/>
      <c r="E39"/>
      <c r="F39"/>
      <c r="G39"/>
      <c r="H39"/>
    </row>
  </sheetData>
  <mergeCells count="5">
    <mergeCell ref="AA22:AM22"/>
    <mergeCell ref="AA23:AA24"/>
    <mergeCell ref="B31:D31"/>
    <mergeCell ref="B32:D33"/>
    <mergeCell ref="C3:C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heckBox1">
          <controlPr defaultSize="0" autoLine="0" r:id="rId4">
            <anchor moveWithCells="1">
              <from>
                <xdr:col>5</xdr:col>
                <xdr:colOff>57150</xdr:colOff>
                <xdr:row>23</xdr:row>
                <xdr:rowOff>57150</xdr:rowOff>
              </from>
              <to>
                <xdr:col>5</xdr:col>
                <xdr:colOff>1000125</xdr:colOff>
                <xdr:row>25</xdr:row>
                <xdr:rowOff>9525</xdr:rowOff>
              </to>
            </anchor>
          </controlPr>
        </control>
      </mc:Choice>
      <mc:Fallback>
        <control shapeId="5121" r:id="rId3" name="CheckBox1"/>
      </mc:Fallback>
    </mc:AlternateContent>
    <mc:AlternateContent xmlns:mc="http://schemas.openxmlformats.org/markup-compatibility/2006">
      <mc:Choice Requires="x14">
        <control shapeId="5122" r:id="rId5" name="CheckBox2">
          <controlPr defaultSize="0" autoLine="0" r:id="rId6">
            <anchor moveWithCells="1">
              <from>
                <xdr:col>5</xdr:col>
                <xdr:colOff>57150</xdr:colOff>
                <xdr:row>25</xdr:row>
                <xdr:rowOff>57150</xdr:rowOff>
              </from>
              <to>
                <xdr:col>5</xdr:col>
                <xdr:colOff>1009650</xdr:colOff>
                <xdr:row>27</xdr:row>
                <xdr:rowOff>0</xdr:rowOff>
              </to>
            </anchor>
          </controlPr>
        </control>
      </mc:Choice>
      <mc:Fallback>
        <control shapeId="5122" r:id="rId5" name="CheckBox2"/>
      </mc:Fallback>
    </mc:AlternateContent>
    <mc:AlternateContent xmlns:mc="http://schemas.openxmlformats.org/markup-compatibility/2006">
      <mc:Choice Requires="x14">
        <control shapeId="5123" r:id="rId7" name="CheckBox3">
          <controlPr defaultSize="0" autoLine="0" r:id="rId8">
            <anchor moveWithCells="1">
              <from>
                <xdr:col>5</xdr:col>
                <xdr:colOff>57150</xdr:colOff>
                <xdr:row>27</xdr:row>
                <xdr:rowOff>57150</xdr:rowOff>
              </from>
              <to>
                <xdr:col>5</xdr:col>
                <xdr:colOff>1143000</xdr:colOff>
                <xdr:row>29</xdr:row>
                <xdr:rowOff>0</xdr:rowOff>
              </to>
            </anchor>
          </controlPr>
        </control>
      </mc:Choice>
      <mc:Fallback>
        <control shapeId="5123" r:id="rId7" name="CheckBox3"/>
      </mc:Fallback>
    </mc:AlternateContent>
    <mc:AlternateContent xmlns:mc="http://schemas.openxmlformats.org/markup-compatibility/2006">
      <mc:Choice Requires="x14">
        <control shapeId="5124" r:id="rId9" name="CheckBox4">
          <controlPr defaultSize="0" autoLine="0" r:id="rId10">
            <anchor moveWithCells="1">
              <from>
                <xdr:col>5</xdr:col>
                <xdr:colOff>57150</xdr:colOff>
                <xdr:row>29</xdr:row>
                <xdr:rowOff>57150</xdr:rowOff>
              </from>
              <to>
                <xdr:col>6</xdr:col>
                <xdr:colOff>0</xdr:colOff>
                <xdr:row>31</xdr:row>
                <xdr:rowOff>9525</xdr:rowOff>
              </to>
            </anchor>
          </controlPr>
        </control>
      </mc:Choice>
      <mc:Fallback>
        <control shapeId="5124" r:id="rId9" name="CheckBox4"/>
      </mc:Fallback>
    </mc:AlternateContent>
    <mc:AlternateContent xmlns:mc="http://schemas.openxmlformats.org/markup-compatibility/2006">
      <mc:Choice Requires="x14">
        <control shapeId="5125" r:id="rId11" name="CheckBox5">
          <controlPr defaultSize="0" autoLine="0" r:id="rId12">
            <anchor moveWithCells="1">
              <from>
                <xdr:col>5</xdr:col>
                <xdr:colOff>57150</xdr:colOff>
                <xdr:row>31</xdr:row>
                <xdr:rowOff>57150</xdr:rowOff>
              </from>
              <to>
                <xdr:col>6</xdr:col>
                <xdr:colOff>200025</xdr:colOff>
                <xdr:row>33</xdr:row>
                <xdr:rowOff>0</xdr:rowOff>
              </to>
            </anchor>
          </controlPr>
        </control>
      </mc:Choice>
      <mc:Fallback>
        <control shapeId="5125" r:id="rId11" name="CheckBox5"/>
      </mc:Fallback>
    </mc:AlternateContent>
    <mc:AlternateContent xmlns:mc="http://schemas.openxmlformats.org/markup-compatibility/2006">
      <mc:Choice Requires="x14">
        <control shapeId="5126" r:id="rId13" name="CheckBox6">
          <controlPr defaultSize="0" autoLine="0" r:id="rId14">
            <anchor moveWithCells="1">
              <from>
                <xdr:col>5</xdr:col>
                <xdr:colOff>57150</xdr:colOff>
                <xdr:row>33</xdr:row>
                <xdr:rowOff>57150</xdr:rowOff>
              </from>
              <to>
                <xdr:col>6</xdr:col>
                <xdr:colOff>209550</xdr:colOff>
                <xdr:row>35</xdr:row>
                <xdr:rowOff>19050</xdr:rowOff>
              </to>
            </anchor>
          </controlPr>
        </control>
      </mc:Choice>
      <mc:Fallback>
        <control shapeId="5126" r:id="rId13" name="CheckBox6"/>
      </mc:Fallback>
    </mc:AlternateContent>
    <mc:AlternateContent xmlns:mc="http://schemas.openxmlformats.org/markup-compatibility/2006">
      <mc:Choice Requires="x14">
        <control shapeId="5128" r:id="rId15" name="CommandButton1">
          <controlPr defaultSize="0" autoLine="0" r:id="rId16">
            <anchor moveWithCells="1">
              <from>
                <xdr:col>30</xdr:col>
                <xdr:colOff>180975</xdr:colOff>
                <xdr:row>1</xdr:row>
                <xdr:rowOff>76200</xdr:rowOff>
              </from>
              <to>
                <xdr:col>33</xdr:col>
                <xdr:colOff>142875</xdr:colOff>
                <xdr:row>4</xdr:row>
                <xdr:rowOff>76200</xdr:rowOff>
              </to>
            </anchor>
          </controlPr>
        </control>
      </mc:Choice>
      <mc:Fallback>
        <control shapeId="5128" r:id="rId1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CJ84"/>
  <sheetViews>
    <sheetView showGridLines="0" workbookViewId="0">
      <selection activeCell="H38" sqref="H38"/>
    </sheetView>
  </sheetViews>
  <sheetFormatPr defaultColWidth="9" defaultRowHeight="12" x14ac:dyDescent="0.2"/>
  <cols>
    <col min="1" max="1" width="1.7109375" style="43" customWidth="1"/>
    <col min="2" max="2" width="11.42578125" style="43" customWidth="1"/>
    <col min="3" max="4" width="9.140625" style="43" customWidth="1"/>
    <col min="5" max="5" width="11.42578125" style="43" customWidth="1"/>
    <col min="6" max="7" width="12.7109375" style="43" customWidth="1"/>
    <col min="8" max="8" width="9" style="43"/>
    <col min="9" max="9" width="1.28515625" style="43" customWidth="1"/>
    <col min="10" max="16" width="9" style="43"/>
    <col min="17" max="17" width="1.28515625" style="43" customWidth="1"/>
    <col min="18" max="24" width="9" style="43"/>
    <col min="25" max="25" width="1.28515625" style="43" customWidth="1"/>
    <col min="26" max="35" width="9" style="43"/>
    <col min="36" max="36" width="17.42578125" style="43" bestFit="1" customWidth="1"/>
    <col min="37" max="37" width="9" style="43"/>
    <col min="38" max="39" width="9" style="192"/>
    <col min="40" max="41" width="9" style="43"/>
    <col min="42" max="45" width="11.5703125" style="43" customWidth="1"/>
    <col min="46" max="16384" width="9" style="43"/>
  </cols>
  <sheetData>
    <row r="1" spans="2:88" x14ac:dyDescent="0.2">
      <c r="B1" s="221"/>
      <c r="C1" s="215" t="s">
        <v>100</v>
      </c>
      <c r="D1" s="216" t="s">
        <v>102</v>
      </c>
      <c r="E1" s="212" t="s">
        <v>103</v>
      </c>
    </row>
    <row r="2" spans="2:88" x14ac:dyDescent="0.2">
      <c r="B2" s="210" t="s">
        <v>43</v>
      </c>
      <c r="C2" s="217">
        <v>1</v>
      </c>
      <c r="D2" s="218">
        <v>10000</v>
      </c>
      <c r="E2" s="213">
        <v>20</v>
      </c>
      <c r="AN2" s="43" t="s">
        <v>106</v>
      </c>
      <c r="AO2" s="43" t="s">
        <v>49</v>
      </c>
      <c r="AP2" s="43" t="s">
        <v>50</v>
      </c>
      <c r="AQ2" s="43" t="s">
        <v>51</v>
      </c>
    </row>
    <row r="3" spans="2:88" x14ac:dyDescent="0.2">
      <c r="B3" s="211" t="s">
        <v>40</v>
      </c>
      <c r="C3" s="219">
        <v>60</v>
      </c>
      <c r="D3" s="220">
        <v>250</v>
      </c>
      <c r="E3" s="214">
        <v>10</v>
      </c>
      <c r="AO3" s="43" t="s">
        <v>61</v>
      </c>
      <c r="AP3" s="43" t="s">
        <v>107</v>
      </c>
      <c r="AQ3" s="43" t="s">
        <v>63</v>
      </c>
    </row>
    <row r="4" spans="2:88" x14ac:dyDescent="0.2">
      <c r="B4"/>
      <c r="C4"/>
      <c r="D4"/>
      <c r="AM4" s="192" t="s">
        <v>108</v>
      </c>
      <c r="AN4" s="257">
        <v>1.383</v>
      </c>
      <c r="AO4" s="258"/>
      <c r="AP4" s="258"/>
      <c r="AQ4" s="259"/>
    </row>
    <row r="5" spans="2:88" x14ac:dyDescent="0.2">
      <c r="B5"/>
      <c r="C5"/>
      <c r="D5"/>
      <c r="AM5" s="192" t="s">
        <v>109</v>
      </c>
      <c r="AN5" s="189">
        <v>0.70221</v>
      </c>
      <c r="AO5" s="190"/>
      <c r="AP5" s="190"/>
      <c r="AQ5" s="191"/>
    </row>
    <row r="6" spans="2:88" x14ac:dyDescent="0.2">
      <c r="B6"/>
      <c r="C6"/>
      <c r="D6"/>
      <c r="AM6" s="194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2:88" x14ac:dyDescent="0.2">
      <c r="AL7" s="195"/>
      <c r="AM7" s="195"/>
      <c r="AN7" s="193" t="s">
        <v>104</v>
      </c>
      <c r="AO7" s="180">
        <v>60</v>
      </c>
      <c r="AP7" s="193" t="s">
        <v>105</v>
      </c>
      <c r="AQ7" s="180">
        <v>1.3891</v>
      </c>
      <c r="AS7" s="193" t="s">
        <v>104</v>
      </c>
      <c r="AT7" s="180">
        <v>81.111111111111114</v>
      </c>
      <c r="AU7" s="193" t="s">
        <v>105</v>
      </c>
      <c r="AV7" s="180">
        <v>1.4455</v>
      </c>
      <c r="AX7" s="193" t="s">
        <v>104</v>
      </c>
      <c r="AY7" s="180">
        <v>102.22222222222223</v>
      </c>
      <c r="AZ7" s="193" t="s">
        <v>105</v>
      </c>
      <c r="BA7" s="180">
        <v>1.5019</v>
      </c>
      <c r="BC7" s="193" t="s">
        <v>104</v>
      </c>
      <c r="BD7" s="180">
        <v>123.33333333333334</v>
      </c>
      <c r="BE7" s="193" t="s">
        <v>105</v>
      </c>
      <c r="BF7" s="180">
        <v>1.5583</v>
      </c>
      <c r="BH7" s="193" t="s">
        <v>104</v>
      </c>
      <c r="BI7" s="180">
        <v>144.44444444444446</v>
      </c>
      <c r="BJ7" s="193" t="s">
        <v>105</v>
      </c>
      <c r="BK7" s="180">
        <v>1.6147</v>
      </c>
      <c r="BM7" s="193" t="s">
        <v>104</v>
      </c>
      <c r="BN7" s="180">
        <v>165.55555555555557</v>
      </c>
      <c r="BO7" s="193" t="s">
        <v>105</v>
      </c>
      <c r="BP7" s="180">
        <v>1.6711</v>
      </c>
      <c r="BR7" s="193" t="s">
        <v>104</v>
      </c>
      <c r="BS7" s="180">
        <v>186.66666666666669</v>
      </c>
      <c r="BT7" s="193" t="s">
        <v>105</v>
      </c>
      <c r="BU7" s="180">
        <v>1.7275</v>
      </c>
      <c r="BW7" s="193" t="s">
        <v>104</v>
      </c>
      <c r="BX7" s="180">
        <v>207.7777777777778</v>
      </c>
      <c r="BY7" s="193" t="s">
        <v>105</v>
      </c>
      <c r="BZ7" s="180">
        <v>1.7839</v>
      </c>
      <c r="CB7" s="193" t="s">
        <v>104</v>
      </c>
      <c r="CC7" s="180">
        <v>228.88888888888891</v>
      </c>
      <c r="CD7" s="193" t="s">
        <v>105</v>
      </c>
      <c r="CE7" s="180">
        <v>1.8403</v>
      </c>
      <c r="CG7" s="193" t="s">
        <v>104</v>
      </c>
      <c r="CH7" s="180">
        <v>250.00000000000003</v>
      </c>
      <c r="CI7" s="193" t="s">
        <v>105</v>
      </c>
      <c r="CJ7" s="180">
        <v>1.8967000000000001</v>
      </c>
    </row>
    <row r="8" spans="2:88" x14ac:dyDescent="0.2">
      <c r="AL8" s="205" t="s">
        <v>43</v>
      </c>
      <c r="AM8" s="205" t="s">
        <v>101</v>
      </c>
      <c r="AN8" s="206" t="s">
        <v>106</v>
      </c>
      <c r="AO8" s="207" t="s">
        <v>49</v>
      </c>
      <c r="AP8" s="207" t="s">
        <v>50</v>
      </c>
      <c r="AQ8" s="208" t="s">
        <v>51</v>
      </c>
      <c r="AR8" s="209"/>
      <c r="AS8" s="206" t="s">
        <v>106</v>
      </c>
      <c r="AT8" s="207" t="s">
        <v>49</v>
      </c>
      <c r="AU8" s="207" t="s">
        <v>50</v>
      </c>
      <c r="AV8" s="208" t="s">
        <v>51</v>
      </c>
      <c r="AW8" s="209"/>
      <c r="AX8" s="206" t="s">
        <v>106</v>
      </c>
      <c r="AY8" s="207" t="s">
        <v>49</v>
      </c>
      <c r="AZ8" s="207" t="s">
        <v>50</v>
      </c>
      <c r="BA8" s="208" t="s">
        <v>51</v>
      </c>
      <c r="BC8" s="199" t="s">
        <v>106</v>
      </c>
      <c r="BD8" s="200" t="s">
        <v>49</v>
      </c>
      <c r="BE8" s="200" t="s">
        <v>50</v>
      </c>
      <c r="BF8" s="201" t="s">
        <v>51</v>
      </c>
      <c r="BH8" s="199" t="s">
        <v>106</v>
      </c>
      <c r="BI8" s="200" t="s">
        <v>49</v>
      </c>
      <c r="BJ8" s="200" t="s">
        <v>50</v>
      </c>
      <c r="BK8" s="201" t="s">
        <v>51</v>
      </c>
      <c r="BM8" s="199" t="s">
        <v>106</v>
      </c>
      <c r="BN8" s="200" t="s">
        <v>49</v>
      </c>
      <c r="BO8" s="200" t="s">
        <v>50</v>
      </c>
      <c r="BP8" s="201" t="s">
        <v>51</v>
      </c>
      <c r="BR8" s="199" t="s">
        <v>106</v>
      </c>
      <c r="BS8" s="200" t="s">
        <v>49</v>
      </c>
      <c r="BT8" s="200" t="s">
        <v>50</v>
      </c>
      <c r="BU8" s="201" t="s">
        <v>51</v>
      </c>
      <c r="BW8" s="199" t="s">
        <v>106</v>
      </c>
      <c r="BX8" s="200" t="s">
        <v>49</v>
      </c>
      <c r="BY8" s="200" t="s">
        <v>50</v>
      </c>
      <c r="BZ8" s="201" t="s">
        <v>51</v>
      </c>
      <c r="CB8" s="199" t="s">
        <v>106</v>
      </c>
      <c r="CC8" s="200" t="s">
        <v>49</v>
      </c>
      <c r="CD8" s="200" t="s">
        <v>50</v>
      </c>
      <c r="CE8" s="201" t="s">
        <v>51</v>
      </c>
      <c r="CG8" s="199" t="s">
        <v>106</v>
      </c>
      <c r="CH8" s="200" t="s">
        <v>49</v>
      </c>
      <c r="CI8" s="200" t="s">
        <v>50</v>
      </c>
      <c r="CJ8" s="201" t="s">
        <v>51</v>
      </c>
    </row>
    <row r="9" spans="2:88" x14ac:dyDescent="0.2">
      <c r="AL9" s="196" t="s">
        <v>31</v>
      </c>
      <c r="AM9" s="196" t="s">
        <v>31</v>
      </c>
      <c r="AN9" s="202"/>
      <c r="AO9" s="203" t="s">
        <v>61</v>
      </c>
      <c r="AP9" s="203" t="s">
        <v>107</v>
      </c>
      <c r="AQ9" s="204" t="s">
        <v>63</v>
      </c>
      <c r="AS9" s="202"/>
      <c r="AT9" s="203" t="s">
        <v>61</v>
      </c>
      <c r="AU9" s="203" t="s">
        <v>107</v>
      </c>
      <c r="AV9" s="204" t="s">
        <v>63</v>
      </c>
      <c r="AX9" s="202"/>
      <c r="AY9" s="203" t="s">
        <v>61</v>
      </c>
      <c r="AZ9" s="203" t="s">
        <v>107</v>
      </c>
      <c r="BA9" s="204" t="s">
        <v>63</v>
      </c>
      <c r="BC9" s="202"/>
      <c r="BD9" s="203" t="s">
        <v>61</v>
      </c>
      <c r="BE9" s="203" t="s">
        <v>107</v>
      </c>
      <c r="BF9" s="204" t="s">
        <v>63</v>
      </c>
      <c r="BH9" s="202"/>
      <c r="BI9" s="203" t="s">
        <v>61</v>
      </c>
      <c r="BJ9" s="203" t="s">
        <v>107</v>
      </c>
      <c r="BK9" s="204" t="s">
        <v>63</v>
      </c>
      <c r="BM9" s="202"/>
      <c r="BN9" s="203" t="s">
        <v>61</v>
      </c>
      <c r="BO9" s="203" t="s">
        <v>107</v>
      </c>
      <c r="BP9" s="204" t="s">
        <v>63</v>
      </c>
      <c r="BR9" s="202"/>
      <c r="BS9" s="203" t="s">
        <v>61</v>
      </c>
      <c r="BT9" s="203" t="s">
        <v>107</v>
      </c>
      <c r="BU9" s="204" t="s">
        <v>63</v>
      </c>
      <c r="BW9" s="202"/>
      <c r="BX9" s="203" t="s">
        <v>61</v>
      </c>
      <c r="BY9" s="203" t="s">
        <v>107</v>
      </c>
      <c r="BZ9" s="204" t="s">
        <v>63</v>
      </c>
      <c r="CB9" s="202"/>
      <c r="CC9" s="203" t="s">
        <v>61</v>
      </c>
      <c r="CD9" s="203" t="s">
        <v>107</v>
      </c>
      <c r="CE9" s="204" t="s">
        <v>63</v>
      </c>
      <c r="CG9" s="202"/>
      <c r="CH9" s="203" t="s">
        <v>61</v>
      </c>
      <c r="CI9" s="203" t="s">
        <v>107</v>
      </c>
      <c r="CJ9" s="204" t="s">
        <v>63</v>
      </c>
    </row>
    <row r="10" spans="2:88" x14ac:dyDescent="0.2">
      <c r="AH10" s="58"/>
      <c r="AI10" s="58"/>
      <c r="AJ10" s="251"/>
      <c r="AL10" s="197">
        <v>1</v>
      </c>
      <c r="AM10" s="198">
        <v>1.5E-3</v>
      </c>
      <c r="AN10" s="198">
        <v>0.99978</v>
      </c>
      <c r="AO10" s="198">
        <v>14.712762479999999</v>
      </c>
      <c r="AP10" s="198">
        <v>3.4259523495789586E-3</v>
      </c>
      <c r="AQ10" s="198">
        <v>1.0467253074657857E-2</v>
      </c>
      <c r="AR10" s="192"/>
      <c r="AS10" s="198">
        <v>0.99980000000000002</v>
      </c>
      <c r="AT10" s="198">
        <v>15.310381755555554</v>
      </c>
      <c r="AU10" s="198">
        <v>3.2922251052860262E-3</v>
      </c>
      <c r="AV10" s="198">
        <v>1.0901301932321838E-2</v>
      </c>
      <c r="AX10" s="198">
        <v>0.99983</v>
      </c>
      <c r="AY10" s="198">
        <v>15.908184037777776</v>
      </c>
      <c r="AZ10" s="198">
        <v>3.1685089302118906E-3</v>
      </c>
      <c r="BA10" s="198">
        <v>1.1331495314642516E-2</v>
      </c>
      <c r="BC10" s="198">
        <v>0.99985000000000002</v>
      </c>
      <c r="BD10" s="198">
        <v>16.505857083333332</v>
      </c>
      <c r="BE10" s="198">
        <v>3.0537779972691897E-3</v>
      </c>
      <c r="BF10" s="198">
        <v>1.1757813400687248E-2</v>
      </c>
      <c r="BH10" s="198">
        <v>0.99985999999999997</v>
      </c>
      <c r="BI10" s="198">
        <v>17.103382968888887</v>
      </c>
      <c r="BJ10" s="198">
        <v>2.9470908345349228E-3</v>
      </c>
      <c r="BK10" s="198">
        <v>1.2180250801072087E-2</v>
      </c>
      <c r="BM10" s="198">
        <v>0.99987999999999999</v>
      </c>
      <c r="BN10" s="198">
        <v>17.701097835555554</v>
      </c>
      <c r="BO10" s="198">
        <v>2.8475761026474861E-3</v>
      </c>
      <c r="BP10" s="198">
        <v>1.2598813994404877E-2</v>
      </c>
      <c r="BR10" s="198">
        <v>0.99988999999999995</v>
      </c>
      <c r="BS10" s="198">
        <v>18.298653593333334</v>
      </c>
      <c r="BT10" s="198">
        <v>2.7545864470332969E-3</v>
      </c>
      <c r="BU10" s="198">
        <v>1.3013519243972435E-2</v>
      </c>
      <c r="BW10" s="198">
        <v>0.99990000000000001</v>
      </c>
      <c r="BX10" s="198">
        <v>18.896221300000001</v>
      </c>
      <c r="BY10" s="198">
        <v>2.6674763375656033E-3</v>
      </c>
      <c r="BZ10" s="198">
        <v>1.3424390850709757E-2</v>
      </c>
      <c r="CB10" s="198">
        <v>0.99992000000000003</v>
      </c>
      <c r="CC10" s="198">
        <v>19.493995911111114</v>
      </c>
      <c r="CD10" s="198">
        <v>2.5856793762033862E-3</v>
      </c>
      <c r="CE10" s="198">
        <v>1.3831459724318896E-2</v>
      </c>
      <c r="CG10" s="198">
        <v>0.99992999999999999</v>
      </c>
      <c r="CH10" s="198">
        <v>20.091593489999998</v>
      </c>
      <c r="CI10" s="198">
        <v>2.5087718011137768E-3</v>
      </c>
      <c r="CJ10" s="198">
        <v>1.4234762186352761E-2</v>
      </c>
    </row>
    <row r="11" spans="2:88" x14ac:dyDescent="0.2">
      <c r="AH11" s="58"/>
      <c r="AI11" s="58"/>
      <c r="AJ11" s="251"/>
      <c r="AL11" s="197">
        <v>527.26</v>
      </c>
      <c r="AM11" s="198">
        <v>0.7984</v>
      </c>
      <c r="AN11" s="198">
        <v>0.88656000000000001</v>
      </c>
      <c r="AO11" s="198">
        <v>2.4744181162993588E-2</v>
      </c>
      <c r="AP11" s="198">
        <v>2.0370535947472441</v>
      </c>
      <c r="AQ11" s="198">
        <v>1.1412069756985131E-2</v>
      </c>
      <c r="AR11" s="192"/>
      <c r="AS11" s="198">
        <v>0.90124000000000004</v>
      </c>
      <c r="AT11" s="198">
        <v>2.6175110327184142E-2</v>
      </c>
      <c r="AU11" s="198">
        <v>1.9256928645991163</v>
      </c>
      <c r="AV11" s="198">
        <v>1.1752745969545656E-2</v>
      </c>
      <c r="AX11" s="198">
        <v>0.91371999999999998</v>
      </c>
      <c r="AY11" s="198">
        <v>2.7572919234448951E-2</v>
      </c>
      <c r="AZ11" s="198">
        <v>1.8280698811237239</v>
      </c>
      <c r="BA11" s="198">
        <v>1.2104722012938426E-2</v>
      </c>
      <c r="BC11" s="198">
        <v>0.9244</v>
      </c>
      <c r="BD11" s="198">
        <v>2.8942653213468374E-2</v>
      </c>
      <c r="BE11" s="198">
        <v>1.7415550266033395</v>
      </c>
      <c r="BF11" s="198">
        <v>1.2464673883890141E-2</v>
      </c>
      <c r="BH11" s="198">
        <v>0.93362999999999996</v>
      </c>
      <c r="BI11" s="198">
        <v>3.0289548432778264E-2</v>
      </c>
      <c r="BJ11" s="198">
        <v>1.6641127317899007</v>
      </c>
      <c r="BK11" s="198">
        <v>1.2830144536897067E-2</v>
      </c>
      <c r="BM11" s="198">
        <v>0.94164000000000003</v>
      </c>
      <c r="BN11" s="198">
        <v>3.1616398310763821E-2</v>
      </c>
      <c r="BO11" s="198">
        <v>1.5942746764419604</v>
      </c>
      <c r="BP11" s="198">
        <v>1.3199353732878179E-2</v>
      </c>
      <c r="BR11" s="198">
        <v>0.94864000000000004</v>
      </c>
      <c r="BS11" s="198">
        <v>3.2926344548546572E-2</v>
      </c>
      <c r="BT11" s="198">
        <v>1.5308478325869341</v>
      </c>
      <c r="BU11" s="198">
        <v>1.3570930568452877E-2</v>
      </c>
      <c r="BW11" s="198">
        <v>0.95477999999999996</v>
      </c>
      <c r="BX11" s="198">
        <v>3.4221330134405543E-2</v>
      </c>
      <c r="BY11" s="198">
        <v>1.4729182936251968</v>
      </c>
      <c r="BZ11" s="198">
        <v>1.3943839505372948E-2</v>
      </c>
      <c r="CB11" s="198">
        <v>0.96018999999999999</v>
      </c>
      <c r="CC11" s="198">
        <v>3.5503238419164911E-2</v>
      </c>
      <c r="CD11" s="198">
        <v>1.4197359292143905</v>
      </c>
      <c r="CE11" s="198">
        <v>1.4317270135729717E-2</v>
      </c>
      <c r="CG11" s="198">
        <v>0.96499000000000001</v>
      </c>
      <c r="CH11" s="198">
        <v>3.677416088836627E-2</v>
      </c>
      <c r="CI11" s="198">
        <v>1.3706695671497737</v>
      </c>
      <c r="CJ11" s="198">
        <v>1.469057928394021E-2</v>
      </c>
    </row>
    <row r="12" spans="2:88" x14ac:dyDescent="0.2">
      <c r="AH12" s="58"/>
      <c r="AI12" s="58"/>
      <c r="AJ12" s="251"/>
      <c r="AL12" s="197">
        <v>1053.53</v>
      </c>
      <c r="AM12" s="198">
        <v>1.5952</v>
      </c>
      <c r="AN12" s="198">
        <v>0.78934000000000004</v>
      </c>
      <c r="AO12" s="198">
        <v>1.1025720615454709E-2</v>
      </c>
      <c r="AP12" s="198">
        <v>4.5716035209980141</v>
      </c>
      <c r="AQ12" s="198">
        <v>1.3185876751152924E-2</v>
      </c>
      <c r="AR12" s="192"/>
      <c r="AS12" s="198">
        <v>0.81864999999999999</v>
      </c>
      <c r="AT12" s="198">
        <v>1.1899377610931291E-2</v>
      </c>
      <c r="AU12" s="198">
        <v>4.2359545881499452</v>
      </c>
      <c r="AV12" s="198">
        <v>1.3296948753867157E-2</v>
      </c>
      <c r="AX12" s="198">
        <v>0.84304999999999997</v>
      </c>
      <c r="AY12" s="198">
        <v>1.2732124265828003E-2</v>
      </c>
      <c r="AZ12" s="198">
        <v>3.9589012905282979</v>
      </c>
      <c r="BA12" s="198">
        <v>1.347246185938538E-2</v>
      </c>
      <c r="BC12" s="198">
        <v>0.86362000000000005</v>
      </c>
      <c r="BD12" s="198">
        <v>1.353253047690463E-2</v>
      </c>
      <c r="BE12" s="198">
        <v>3.7247448489532315</v>
      </c>
      <c r="BF12" s="198">
        <v>1.3692349972082622E-2</v>
      </c>
      <c r="BH12" s="198">
        <v>0.88114999999999999</v>
      </c>
      <c r="BI12" s="198">
        <v>1.430690733903058E-2</v>
      </c>
      <c r="BJ12" s="198">
        <v>3.523138998016921</v>
      </c>
      <c r="BK12" s="198">
        <v>1.3943824752033073E-2</v>
      </c>
      <c r="BM12" s="198">
        <v>0.89624000000000004</v>
      </c>
      <c r="BN12" s="198">
        <v>1.5060165239190574E-2</v>
      </c>
      <c r="BO12" s="198">
        <v>3.3469236483531595</v>
      </c>
      <c r="BP12" s="198">
        <v>1.4218305921430445E-2</v>
      </c>
      <c r="BR12" s="198">
        <v>0.90930999999999995</v>
      </c>
      <c r="BS12" s="198">
        <v>1.5795448830756283E-2</v>
      </c>
      <c r="BT12" s="198">
        <v>3.1911231980319581</v>
      </c>
      <c r="BU12" s="198">
        <v>1.4509914206412681E-2</v>
      </c>
      <c r="BW12" s="198">
        <v>0.92071000000000003</v>
      </c>
      <c r="BX12" s="198">
        <v>1.6515599822606961E-2</v>
      </c>
      <c r="BY12" s="198">
        <v>3.051976539063221</v>
      </c>
      <c r="BZ12" s="198">
        <v>1.481436047145606E-2</v>
      </c>
      <c r="CB12" s="198">
        <v>0.93069999999999997</v>
      </c>
      <c r="CC12" s="198">
        <v>1.722258839857959E-2</v>
      </c>
      <c r="CD12" s="198">
        <v>2.92669266782862</v>
      </c>
      <c r="CE12" s="198">
        <v>1.5128514214701266E-2</v>
      </c>
      <c r="CG12" s="198">
        <v>0.9395</v>
      </c>
      <c r="CH12" s="198">
        <v>1.7918211631372624E-2</v>
      </c>
      <c r="CI12" s="198">
        <v>2.8130722096673799</v>
      </c>
      <c r="CJ12" s="198">
        <v>1.5449989388545743E-2</v>
      </c>
    </row>
    <row r="13" spans="2:88" x14ac:dyDescent="0.2">
      <c r="AH13" s="58"/>
      <c r="AI13" s="58"/>
      <c r="AJ13" s="251"/>
      <c r="AL13" s="197">
        <v>1579.79</v>
      </c>
      <c r="AM13" s="198">
        <v>2.3919999999999999</v>
      </c>
      <c r="AN13" s="198">
        <v>0.72472999999999999</v>
      </c>
      <c r="AO13" s="198">
        <v>6.750977459029364E-3</v>
      </c>
      <c r="AP13" s="198">
        <v>7.4663592780533818</v>
      </c>
      <c r="AQ13" s="198">
        <v>1.5917283239433259E-2</v>
      </c>
      <c r="AR13" s="192"/>
      <c r="AS13" s="198">
        <v>0.76317999999999997</v>
      </c>
      <c r="AT13" s="198">
        <v>7.3977645959976395E-3</v>
      </c>
      <c r="AU13" s="198">
        <v>6.8135749026703989</v>
      </c>
      <c r="AV13" s="198">
        <v>1.5575001620371913E-2</v>
      </c>
      <c r="AX13" s="198">
        <v>0.79544000000000004</v>
      </c>
      <c r="AY13" s="198">
        <v>8.0112910309457445E-3</v>
      </c>
      <c r="AZ13" s="198">
        <v>6.2917728231878662</v>
      </c>
      <c r="BA13" s="198">
        <v>1.5425198338557046E-2</v>
      </c>
      <c r="BC13" s="198">
        <v>0.82277</v>
      </c>
      <c r="BD13" s="198">
        <v>8.5977005910068214E-3</v>
      </c>
      <c r="BE13" s="198">
        <v>5.8626399760741732</v>
      </c>
      <c r="BF13" s="198">
        <v>1.5401051108936638E-2</v>
      </c>
      <c r="BH13" s="198">
        <v>0.84611000000000003</v>
      </c>
      <c r="BI13" s="198">
        <v>9.1615782069487429E-3</v>
      </c>
      <c r="BJ13" s="198">
        <v>5.5018056985992319</v>
      </c>
      <c r="BK13" s="198">
        <v>1.5463116040618357E-2</v>
      </c>
      <c r="BM13" s="198">
        <v>0.86619999999999997</v>
      </c>
      <c r="BN13" s="198">
        <v>9.7066895529715272E-3</v>
      </c>
      <c r="BO13" s="198">
        <v>5.1928335517563244</v>
      </c>
      <c r="BP13" s="198">
        <v>1.5586474808717868E-2</v>
      </c>
      <c r="BR13" s="198">
        <v>0.88363000000000003</v>
      </c>
      <c r="BS13" s="198">
        <v>1.0236182079052702E-2</v>
      </c>
      <c r="BT13" s="198">
        <v>4.9242210423652253</v>
      </c>
      <c r="BU13" s="198">
        <v>1.5754623746182927E-2</v>
      </c>
      <c r="BW13" s="198">
        <v>0.89881999999999995</v>
      </c>
      <c r="BX13" s="198">
        <v>1.0752062127807422E-2</v>
      </c>
      <c r="BY13" s="198">
        <v>4.6879586992706344</v>
      </c>
      <c r="BZ13" s="198">
        <v>1.5956430179525173E-2</v>
      </c>
      <c r="CB13" s="198">
        <v>0.91213999999999995</v>
      </c>
      <c r="CC13" s="198">
        <v>1.1256354353708052E-2</v>
      </c>
      <c r="CD13" s="198">
        <v>4.4779350048222959</v>
      </c>
      <c r="CE13" s="198">
        <v>1.6183837333795456E-2</v>
      </c>
      <c r="CG13" s="198">
        <v>0.92388000000000003</v>
      </c>
      <c r="CH13" s="198">
        <v>1.1750625614796903E-2</v>
      </c>
      <c r="CI13" s="198">
        <v>4.2895778352159111</v>
      </c>
      <c r="CJ13" s="198">
        <v>1.6431009044944427E-2</v>
      </c>
    </row>
    <row r="14" spans="2:88" x14ac:dyDescent="0.2">
      <c r="AH14" s="58"/>
      <c r="AI14" s="58"/>
      <c r="AJ14" s="251"/>
      <c r="AL14" s="197">
        <v>2106.0500000000002</v>
      </c>
      <c r="AM14" s="198">
        <v>3.1888999999999998</v>
      </c>
      <c r="AN14" s="198">
        <v>0.70221</v>
      </c>
      <c r="AO14" s="198">
        <v>4.906684247762398E-3</v>
      </c>
      <c r="AP14" s="198">
        <v>10.272766830296753</v>
      </c>
      <c r="AQ14" s="198">
        <v>1.941416419302212E-2</v>
      </c>
      <c r="AR14" s="192"/>
      <c r="AS14" s="198">
        <v>0.74075999999999997</v>
      </c>
      <c r="AT14" s="198">
        <v>5.386190786860077E-3</v>
      </c>
      <c r="AU14" s="198">
        <v>9.3582320385159008</v>
      </c>
      <c r="AV14" s="198">
        <v>1.8473623846324828E-2</v>
      </c>
      <c r="AX14" s="198">
        <v>0.77456999999999998</v>
      </c>
      <c r="AY14" s="198">
        <v>5.8517590782111838E-3</v>
      </c>
      <c r="AZ14" s="198">
        <v>8.6136873568215044</v>
      </c>
      <c r="BA14" s="198">
        <v>1.7884000829586313E-2</v>
      </c>
      <c r="BC14" s="198">
        <v>0.80403999999999998</v>
      </c>
      <c r="BD14" s="198">
        <v>6.3024906024706593E-3</v>
      </c>
      <c r="BE14" s="198">
        <v>7.99766732970512</v>
      </c>
      <c r="BF14" s="198">
        <v>1.7528976528466352E-2</v>
      </c>
      <c r="BH14" s="198">
        <v>0.82972999999999997</v>
      </c>
      <c r="BI14" s="198">
        <v>6.7392402818335518E-3</v>
      </c>
      <c r="BJ14" s="198">
        <v>7.4793628182432643</v>
      </c>
      <c r="BK14" s="198">
        <v>1.7335484157092421E-2</v>
      </c>
      <c r="BM14" s="198">
        <v>0.85214999999999996</v>
      </c>
      <c r="BN14" s="198">
        <v>7.1630781874441078E-3</v>
      </c>
      <c r="BO14" s="198">
        <v>7.0368104142024537</v>
      </c>
      <c r="BP14" s="198">
        <v>1.7256937177592132E-2</v>
      </c>
      <c r="BR14" s="198">
        <v>0.87180000000000002</v>
      </c>
      <c r="BS14" s="198">
        <v>7.5755662021319533E-3</v>
      </c>
      <c r="BT14" s="198">
        <v>6.6536575408670915</v>
      </c>
      <c r="BU14" s="198">
        <v>1.726207731669456E-2</v>
      </c>
      <c r="BW14" s="198">
        <v>0.88905999999999996</v>
      </c>
      <c r="BX14" s="198">
        <v>7.9777567790149523E-3</v>
      </c>
      <c r="BY14" s="198">
        <v>6.3182200941173434</v>
      </c>
      <c r="BZ14" s="198">
        <v>1.7329893871201384E-2</v>
      </c>
      <c r="CB14" s="198">
        <v>0.90427999999999997</v>
      </c>
      <c r="CC14" s="198">
        <v>8.3708558570678646E-3</v>
      </c>
      <c r="CD14" s="198">
        <v>6.0215136955911017</v>
      </c>
      <c r="CE14" s="198">
        <v>1.7445392676433732E-2</v>
      </c>
      <c r="CG14" s="198">
        <v>0.91774999999999995</v>
      </c>
      <c r="CH14" s="198">
        <v>8.7558940908335492E-3</v>
      </c>
      <c r="CI14" s="198">
        <v>5.7567191498949049</v>
      </c>
      <c r="CJ14" s="198">
        <v>1.7597784202460276E-2</v>
      </c>
    </row>
    <row r="15" spans="2:88" x14ac:dyDescent="0.2">
      <c r="AH15" s="58"/>
      <c r="AI15" s="58"/>
      <c r="AJ15" s="251"/>
      <c r="AL15" s="197">
        <v>2632.32</v>
      </c>
      <c r="AM15" s="198">
        <v>3.9857</v>
      </c>
      <c r="AN15" s="198">
        <v>0.71269000000000005</v>
      </c>
      <c r="AO15" s="198">
        <v>3.9842975170192073E-3</v>
      </c>
      <c r="AP15" s="198">
        <v>12.650968701971598</v>
      </c>
      <c r="AQ15" s="198">
        <v>2.3194755799528784E-2</v>
      </c>
      <c r="AR15" s="192"/>
      <c r="AS15" s="198">
        <v>0.74616000000000005</v>
      </c>
      <c r="AT15" s="198">
        <v>4.3407639294108106E-3</v>
      </c>
      <c r="AU15" s="198">
        <v>11.61206276287751</v>
      </c>
      <c r="AV15" s="198">
        <v>2.169246625262922E-2</v>
      </c>
      <c r="AX15" s="198">
        <v>0.77703</v>
      </c>
      <c r="AY15" s="198">
        <v>4.6967078445376443E-3</v>
      </c>
      <c r="AZ15" s="198">
        <v>10.73203291658333</v>
      </c>
      <c r="BA15" s="198">
        <v>2.0653360958815717E-2</v>
      </c>
      <c r="BC15" s="198">
        <v>0.80500000000000005</v>
      </c>
      <c r="BD15" s="198">
        <v>5.0484775153983308E-3</v>
      </c>
      <c r="BE15" s="198">
        <v>9.9842423846421955</v>
      </c>
      <c r="BF15" s="198">
        <v>1.9941396103567259E-2</v>
      </c>
      <c r="BH15" s="198">
        <v>0.83008999999999999</v>
      </c>
      <c r="BI15" s="198">
        <v>5.3942283140178829E-3</v>
      </c>
      <c r="BJ15" s="198">
        <v>9.3442880525034493</v>
      </c>
      <c r="BK15" s="198">
        <v>1.9463332005502921E-2</v>
      </c>
      <c r="BM15" s="198">
        <v>0.85248999999999997</v>
      </c>
      <c r="BN15" s="198">
        <v>5.7332770758198922E-3</v>
      </c>
      <c r="BO15" s="198">
        <v>8.7916949626832555</v>
      </c>
      <c r="BP15" s="198">
        <v>1.9155260269101731E-2</v>
      </c>
      <c r="BR15" s="198">
        <v>0.87243000000000004</v>
      </c>
      <c r="BS15" s="198">
        <v>6.0653912214320453E-3</v>
      </c>
      <c r="BT15" s="198">
        <v>8.3103004154202633</v>
      </c>
      <c r="BU15" s="198">
        <v>1.897329705888786E-2</v>
      </c>
      <c r="BW15" s="198">
        <v>0.89019000000000004</v>
      </c>
      <c r="BX15" s="198">
        <v>6.390905942286652E-3</v>
      </c>
      <c r="BY15" s="198">
        <v>7.8870231610885302</v>
      </c>
      <c r="BZ15" s="198">
        <v>1.8886252475687197E-2</v>
      </c>
      <c r="CB15" s="198">
        <v>0.90602000000000005</v>
      </c>
      <c r="CC15" s="198">
        <v>6.7101884438231091E-3</v>
      </c>
      <c r="CD15" s="198">
        <v>7.5117448055504878</v>
      </c>
      <c r="CE15" s="198">
        <v>1.8872003560960544E-2</v>
      </c>
      <c r="CG15" s="198">
        <v>0.92013999999999996</v>
      </c>
      <c r="CH15" s="198">
        <v>7.0236039007415497E-3</v>
      </c>
      <c r="CI15" s="198">
        <v>7.1765469550228147</v>
      </c>
      <c r="CJ15" s="198">
        <v>1.8914490435209038E-2</v>
      </c>
    </row>
    <row r="16" spans="2:88" x14ac:dyDescent="0.2">
      <c r="AH16" s="58"/>
      <c r="AI16" s="58"/>
      <c r="AJ16" s="251"/>
      <c r="AL16" s="197">
        <v>3158.58</v>
      </c>
      <c r="AM16" s="198">
        <v>4.7824999999999998</v>
      </c>
      <c r="AN16" s="198">
        <v>0.74217999999999995</v>
      </c>
      <c r="AO16" s="198">
        <v>3.4578579234972673E-3</v>
      </c>
      <c r="AP16" s="198">
        <v>14.577008165845474</v>
      </c>
      <c r="AQ16" s="198">
        <v>2.6936617677611123E-2</v>
      </c>
      <c r="AR16" s="192"/>
      <c r="AS16" s="198">
        <v>0.76959999999999995</v>
      </c>
      <c r="AT16" s="198">
        <v>3.7311788349335597E-3</v>
      </c>
      <c r="AU16" s="198">
        <v>13.509195194620226</v>
      </c>
      <c r="AV16" s="198">
        <v>2.4977414503106709E-2</v>
      </c>
      <c r="AX16" s="198">
        <v>0.79593999999999998</v>
      </c>
      <c r="AY16" s="198">
        <v>4.0094323722122665E-3</v>
      </c>
      <c r="AZ16" s="198">
        <v>12.571660651141316</v>
      </c>
      <c r="BA16" s="198">
        <v>2.3542677263067493E-2</v>
      </c>
      <c r="BC16" s="198">
        <v>0.82064999999999999</v>
      </c>
      <c r="BD16" s="198">
        <v>4.2891311127152077E-3</v>
      </c>
      <c r="BE16" s="198">
        <v>11.751849468468317</v>
      </c>
      <c r="BF16" s="198">
        <v>2.2496834830793712E-2</v>
      </c>
      <c r="BH16" s="198">
        <v>0.84345999999999999</v>
      </c>
      <c r="BI16" s="198">
        <v>4.5678878877357682E-3</v>
      </c>
      <c r="BJ16" s="198">
        <v>11.034689209970567</v>
      </c>
      <c r="BK16" s="198">
        <v>2.1740165788960087E-2</v>
      </c>
      <c r="BM16" s="198">
        <v>0.86431000000000002</v>
      </c>
      <c r="BN16" s="198">
        <v>4.8442882557633137E-3</v>
      </c>
      <c r="BO16" s="198">
        <v>10.405083373638094</v>
      </c>
      <c r="BP16" s="198">
        <v>2.1199939370406172E-2</v>
      </c>
      <c r="BR16" s="198">
        <v>0.88322999999999996</v>
      </c>
      <c r="BS16" s="198">
        <v>5.1173938352044269E-3</v>
      </c>
      <c r="BT16" s="198">
        <v>9.8497838568525129</v>
      </c>
      <c r="BU16" s="198">
        <v>2.0823906110797392E-2</v>
      </c>
      <c r="BW16" s="198">
        <v>0.90034999999999998</v>
      </c>
      <c r="BX16" s="198">
        <v>5.3868872527809619E-3</v>
      </c>
      <c r="BY16" s="198">
        <v>9.3570221209162341</v>
      </c>
      <c r="BZ16" s="198">
        <v>2.0573521031916172E-2</v>
      </c>
      <c r="CB16" s="198">
        <v>0.91578000000000004</v>
      </c>
      <c r="CC16" s="198">
        <v>5.6524260479920308E-3</v>
      </c>
      <c r="CD16" s="198">
        <v>8.9174493853058188</v>
      </c>
      <c r="CE16" s="198">
        <v>2.0421073474251362E-2</v>
      </c>
      <c r="CG16" s="198">
        <v>0.92969999999999997</v>
      </c>
      <c r="CH16" s="198">
        <v>5.9141962844062842E-3</v>
      </c>
      <c r="CI16" s="198">
        <v>8.522751150490981</v>
      </c>
      <c r="CJ16" s="198">
        <v>2.0345285788884414E-2</v>
      </c>
    </row>
    <row r="17" spans="34:88" x14ac:dyDescent="0.2">
      <c r="AH17" s="58"/>
      <c r="AI17" s="58"/>
      <c r="AJ17" s="251"/>
      <c r="AL17" s="197">
        <v>3684.84</v>
      </c>
      <c r="AM17" s="198">
        <v>5.5793999999999997</v>
      </c>
      <c r="AN17" s="198">
        <v>0.78166999999999998</v>
      </c>
      <c r="AO17" s="198">
        <v>3.1217246121948302E-3</v>
      </c>
      <c r="AP17" s="198">
        <v>16.146595055261486</v>
      </c>
      <c r="AQ17" s="198">
        <v>3.0526308265003767E-2</v>
      </c>
      <c r="AR17" s="192"/>
      <c r="AS17" s="198">
        <v>0.80356000000000005</v>
      </c>
      <c r="AT17" s="198">
        <v>3.3394316762132893E-3</v>
      </c>
      <c r="AU17" s="198">
        <v>15.093952526769334</v>
      </c>
      <c r="AV17" s="198">
        <v>2.8201342327387642E-2</v>
      </c>
      <c r="AX17" s="198">
        <v>0.82526999999999995</v>
      </c>
      <c r="AY17" s="198">
        <v>3.5634598173416836E-3</v>
      </c>
      <c r="AZ17" s="198">
        <v>14.14502359248015</v>
      </c>
      <c r="BA17" s="198">
        <v>2.6434137693127815E-2</v>
      </c>
      <c r="BC17" s="198">
        <v>0.84623000000000004</v>
      </c>
      <c r="BD17" s="198">
        <v>3.7911678435608243E-3</v>
      </c>
      <c r="BE17" s="198">
        <v>13.295434353497372</v>
      </c>
      <c r="BF17" s="198">
        <v>2.5094597968292973E-2</v>
      </c>
      <c r="BH17" s="198">
        <v>0.86609000000000003</v>
      </c>
      <c r="BI17" s="198">
        <v>4.0205661780580854E-3</v>
      </c>
      <c r="BJ17" s="198">
        <v>12.536847039662115</v>
      </c>
      <c r="BK17" s="198">
        <v>2.4082492507486997E-2</v>
      </c>
      <c r="BM17" s="198">
        <v>0.88463000000000003</v>
      </c>
      <c r="BN17" s="198">
        <v>4.250062818044866E-3</v>
      </c>
      <c r="BO17" s="198">
        <v>11.85987721714212</v>
      </c>
      <c r="BP17" s="198">
        <v>2.3322732363634933E-2</v>
      </c>
      <c r="BR17" s="198">
        <v>0.90178000000000003</v>
      </c>
      <c r="BS17" s="198">
        <v>4.4786680525251204E-3</v>
      </c>
      <c r="BT17" s="198">
        <v>11.254511965613109</v>
      </c>
      <c r="BU17" s="198">
        <v>2.2758118131112583E-2</v>
      </c>
      <c r="BW17" s="198">
        <v>0.91752999999999996</v>
      </c>
      <c r="BX17" s="198">
        <v>4.705654489144109E-3</v>
      </c>
      <c r="BY17" s="198">
        <v>10.711628595647516</v>
      </c>
      <c r="BZ17" s="198">
        <v>2.2345999754511015E-2</v>
      </c>
      <c r="CB17" s="198">
        <v>0.93191999999999997</v>
      </c>
      <c r="CC17" s="198">
        <v>4.9305527874570765E-3</v>
      </c>
      <c r="CD17" s="198">
        <v>10.223036921008109</v>
      </c>
      <c r="CE17" s="198">
        <v>2.2054145662678538E-2</v>
      </c>
      <c r="CG17" s="198">
        <v>0.94503999999999999</v>
      </c>
      <c r="CH17" s="198">
        <v>5.1531921928767597E-3</v>
      </c>
      <c r="CI17" s="198">
        <v>9.7813590684291007</v>
      </c>
      <c r="CJ17" s="198">
        <v>2.1857760659945144E-2</v>
      </c>
    </row>
    <row r="18" spans="34:88" x14ac:dyDescent="0.2">
      <c r="AH18" s="58"/>
      <c r="AI18" s="58"/>
      <c r="AJ18" s="251"/>
      <c r="AL18" s="197">
        <v>4211.1099999999997</v>
      </c>
      <c r="AM18" s="198">
        <v>6.3761999999999999</v>
      </c>
      <c r="AN18" s="198">
        <v>0.82647999999999999</v>
      </c>
      <c r="AO18" s="198">
        <v>2.8881885488624137E-3</v>
      </c>
      <c r="AP18" s="198">
        <v>17.452192727170296</v>
      </c>
      <c r="AQ18" s="198">
        <v>3.3942844522875028E-2</v>
      </c>
      <c r="AR18" s="192"/>
      <c r="AS18" s="198">
        <v>0.84357000000000004</v>
      </c>
      <c r="AT18" s="198">
        <v>3.0675908085991584E-3</v>
      </c>
      <c r="AU18" s="198">
        <v>16.43153416872152</v>
      </c>
      <c r="AV18" s="198">
        <v>3.1317402947854428E-2</v>
      </c>
      <c r="AX18" s="198">
        <v>0.86099999999999999</v>
      </c>
      <c r="AY18" s="198">
        <v>3.2531269269464183E-3</v>
      </c>
      <c r="AZ18" s="198">
        <v>15.49439180181836</v>
      </c>
      <c r="BA18" s="198">
        <v>2.9270831915716004E-2</v>
      </c>
      <c r="BC18" s="198">
        <v>0.87827999999999995</v>
      </c>
      <c r="BD18" s="198">
        <v>3.4430207237521699E-3</v>
      </c>
      <c r="BE18" s="198">
        <v>14.639825673840855</v>
      </c>
      <c r="BF18" s="198">
        <v>2.7676542896335008E-2</v>
      </c>
      <c r="BH18" s="198">
        <v>0.89502000000000004</v>
      </c>
      <c r="BI18" s="198">
        <v>3.6356241529351329E-3</v>
      </c>
      <c r="BJ18" s="198">
        <v>13.864255783002131</v>
      </c>
      <c r="BK18" s="198">
        <v>2.6437045213213849E-2</v>
      </c>
      <c r="BM18" s="198">
        <v>0.91098000000000001</v>
      </c>
      <c r="BN18" s="198">
        <v>3.8296984358043369E-3</v>
      </c>
      <c r="BO18" s="198">
        <v>13.161669001378362</v>
      </c>
      <c r="BP18" s="198">
        <v>2.5475870826303291E-2</v>
      </c>
      <c r="BR18" s="198">
        <v>0.92600000000000005</v>
      </c>
      <c r="BS18" s="198">
        <v>4.0242162596876687E-3</v>
      </c>
      <c r="BT18" s="198">
        <v>12.525475753399308</v>
      </c>
      <c r="BU18" s="198">
        <v>2.4734506759829324E-2</v>
      </c>
      <c r="BW18" s="198">
        <v>0.94</v>
      </c>
      <c r="BX18" s="198">
        <v>4.2184185272872111E-3</v>
      </c>
      <c r="BY18" s="198">
        <v>11.948843591763723</v>
      </c>
      <c r="BZ18" s="198">
        <v>2.4167693866819256E-2</v>
      </c>
      <c r="CB18" s="198">
        <v>0.95296999999999998</v>
      </c>
      <c r="CC18" s="198">
        <v>4.4118248105078656E-3</v>
      </c>
      <c r="CD18" s="198">
        <v>11.425028271091019</v>
      </c>
      <c r="CE18" s="198">
        <v>2.3740176638314247E-2</v>
      </c>
      <c r="CG18" s="198">
        <v>0.96491000000000005</v>
      </c>
      <c r="CH18" s="198">
        <v>4.6039967205796098E-3</v>
      </c>
      <c r="CI18" s="198">
        <v>10.948144893727788</v>
      </c>
      <c r="CJ18" s="198">
        <v>2.3425079040902342E-2</v>
      </c>
    </row>
    <row r="19" spans="34:88" x14ac:dyDescent="0.2">
      <c r="AH19" s="58"/>
      <c r="AI19" s="58"/>
      <c r="AJ19" s="251"/>
      <c r="AL19" s="197">
        <v>4737.37</v>
      </c>
      <c r="AM19" s="198">
        <v>7.173</v>
      </c>
      <c r="AN19" s="198">
        <v>0.87424000000000002</v>
      </c>
      <c r="AO19" s="198">
        <v>2.7157084711559366E-3</v>
      </c>
      <c r="AP19" s="198">
        <v>18.560616399925372</v>
      </c>
      <c r="AQ19" s="198">
        <v>3.7192349799079316E-2</v>
      </c>
      <c r="AR19" s="192"/>
      <c r="AS19" s="198">
        <v>0.88710999999999995</v>
      </c>
      <c r="AT19" s="198">
        <v>2.8675635850928067E-3</v>
      </c>
      <c r="AU19" s="198">
        <v>17.577717700555127</v>
      </c>
      <c r="AV19" s="198">
        <v>3.4314789690306984E-2</v>
      </c>
      <c r="AX19" s="198">
        <v>0.90068999999999999</v>
      </c>
      <c r="AY19" s="198">
        <v>3.0250494500816552E-3</v>
      </c>
      <c r="AZ19" s="198">
        <v>16.662611312285343</v>
      </c>
      <c r="BA19" s="198">
        <v>3.202894570837686E-2</v>
      </c>
      <c r="BC19" s="198">
        <v>0.91452</v>
      </c>
      <c r="BD19" s="198">
        <v>3.186831723086861E-3</v>
      </c>
      <c r="BE19" s="198">
        <v>15.81671941508387</v>
      </c>
      <c r="BF19" s="198">
        <v>3.0213105024923637E-2</v>
      </c>
      <c r="BH19" s="198">
        <v>0.92823</v>
      </c>
      <c r="BI19" s="198">
        <v>3.3516689865192434E-3</v>
      </c>
      <c r="BJ19" s="198">
        <v>15.038842854079004</v>
      </c>
      <c r="BK19" s="198">
        <v>2.8771535285993379E-2</v>
      </c>
      <c r="BM19" s="198">
        <v>0.94155999999999995</v>
      </c>
      <c r="BN19" s="198">
        <v>3.5185442377427887E-3</v>
      </c>
      <c r="BO19" s="198">
        <v>14.325590295686897</v>
      </c>
      <c r="BP19" s="198">
        <v>2.7628308254451697E-2</v>
      </c>
      <c r="BR19" s="198">
        <v>0.95431999999999995</v>
      </c>
      <c r="BS19" s="198">
        <v>3.6865797295405115E-3</v>
      </c>
      <c r="BT19" s="198">
        <v>13.672625274656831</v>
      </c>
      <c r="BU19" s="198">
        <v>2.6724147736310263E-2</v>
      </c>
      <c r="BW19" s="198">
        <v>0.96640000000000004</v>
      </c>
      <c r="BX19" s="198">
        <v>3.8551210012681678E-3</v>
      </c>
      <c r="BY19" s="198">
        <v>13.07487447749941</v>
      </c>
      <c r="BZ19" s="198">
        <v>2.6012168304723568E-2</v>
      </c>
      <c r="CB19" s="198">
        <v>0.97772999999999999</v>
      </c>
      <c r="CC19" s="198">
        <v>4.0236227133057653E-3</v>
      </c>
      <c r="CD19" s="198">
        <v>12.527323454176633</v>
      </c>
      <c r="CE19" s="198">
        <v>2.5455796590784938E-2</v>
      </c>
      <c r="CG19" s="198">
        <v>0.98829</v>
      </c>
      <c r="CH19" s="198">
        <v>4.1917162835075159E-3</v>
      </c>
      <c r="CI19" s="198">
        <v>12.024960607537922</v>
      </c>
      <c r="CJ19" s="198">
        <v>2.5025962934342231E-2</v>
      </c>
    </row>
    <row r="20" spans="34:88" x14ac:dyDescent="0.2">
      <c r="AL20" s="197">
        <v>5263.63</v>
      </c>
      <c r="AM20" s="198">
        <v>7.9699</v>
      </c>
      <c r="AN20" s="198">
        <v>0.92366000000000004</v>
      </c>
      <c r="AO20" s="198">
        <v>2.5823586688274061E-3</v>
      </c>
      <c r="AP20" s="198">
        <v>19.519063635742388</v>
      </c>
      <c r="AQ20" s="198">
        <v>4.0290450014904833E-2</v>
      </c>
      <c r="AR20" s="192"/>
      <c r="AS20" s="198">
        <v>0.93279000000000001</v>
      </c>
      <c r="AT20" s="198">
        <v>2.7137598659733551E-3</v>
      </c>
      <c r="AU20" s="198">
        <v>18.573943781526925</v>
      </c>
      <c r="AV20" s="198">
        <v>3.7194271036107888E-2</v>
      </c>
      <c r="AX20" s="198">
        <v>0.94286999999999999</v>
      </c>
      <c r="AY20" s="198">
        <v>2.8501053088204652E-3</v>
      </c>
      <c r="AZ20" s="198">
        <v>17.685389740217587</v>
      </c>
      <c r="BA20" s="198">
        <v>3.4701164056693157E-2</v>
      </c>
      <c r="BC20" s="198">
        <v>0.95350000000000001</v>
      </c>
      <c r="BD20" s="198">
        <v>2.9904639637157882E-3</v>
      </c>
      <c r="BE20" s="198">
        <v>16.855318705971747</v>
      </c>
      <c r="BF20" s="198">
        <v>3.2690863865112454E-2</v>
      </c>
      <c r="BH20" s="198">
        <v>0.96433000000000002</v>
      </c>
      <c r="BI20" s="198">
        <v>3.1338856804989036E-3</v>
      </c>
      <c r="BJ20" s="198">
        <v>16.083938064750594</v>
      </c>
      <c r="BK20" s="198">
        <v>3.1069391748750074E-2</v>
      </c>
      <c r="BM20" s="198">
        <v>0.97509000000000001</v>
      </c>
      <c r="BN20" s="198">
        <v>3.2795304678836967E-3</v>
      </c>
      <c r="BO20" s="198">
        <v>15.369646259051212</v>
      </c>
      <c r="BP20" s="198">
        <v>2.9761853801151334E-2</v>
      </c>
      <c r="BR20" s="198">
        <v>0.98560000000000003</v>
      </c>
      <c r="BS20" s="198">
        <v>3.4267486633115683E-3</v>
      </c>
      <c r="BT20" s="198">
        <v>14.70934350301669</v>
      </c>
      <c r="BU20" s="198">
        <v>2.870805981460197E-2</v>
      </c>
      <c r="BW20" s="198">
        <v>0.99568999999999996</v>
      </c>
      <c r="BX20" s="198">
        <v>3.5748447843450661E-3</v>
      </c>
      <c r="BY20" s="198">
        <v>14.099975307427981</v>
      </c>
      <c r="BZ20" s="198">
        <v>2.7861560643957544E-2</v>
      </c>
      <c r="CB20" s="198">
        <v>1.00529</v>
      </c>
      <c r="CC20" s="198">
        <v>3.7234165479800903E-3</v>
      </c>
      <c r="CD20" s="198">
        <v>13.537358105822827</v>
      </c>
      <c r="CE20" s="198">
        <v>2.7183922663437925E-2</v>
      </c>
      <c r="CG20" s="198">
        <v>1.01434</v>
      </c>
      <c r="CH20" s="198">
        <v>3.8720680632947225E-3</v>
      </c>
      <c r="CI20" s="198">
        <v>13.017649060709847</v>
      </c>
      <c r="CJ20" s="198">
        <v>2.6645160808679076E-2</v>
      </c>
    </row>
    <row r="21" spans="34:88" x14ac:dyDescent="0.2">
      <c r="AL21" s="197">
        <v>5789.89</v>
      </c>
      <c r="AM21" s="198">
        <v>8.7667000000000002</v>
      </c>
      <c r="AN21" s="198">
        <v>0.97402</v>
      </c>
      <c r="AO21" s="198">
        <v>2.475639143403415E-3</v>
      </c>
      <c r="AP21" s="198">
        <v>20.360488854550081</v>
      </c>
      <c r="AQ21" s="198">
        <v>4.3252690291817608E-2</v>
      </c>
      <c r="AR21" s="192"/>
      <c r="AS21" s="198">
        <v>0.97975000000000001</v>
      </c>
      <c r="AT21" s="198">
        <v>2.5913009045844468E-3</v>
      </c>
      <c r="AU21" s="198">
        <v>19.451705935801524</v>
      </c>
      <c r="AV21" s="198">
        <v>3.9964379350821262E-2</v>
      </c>
      <c r="AX21" s="198">
        <v>0.98663999999999996</v>
      </c>
      <c r="AY21" s="198">
        <v>2.7113329291805766E-3</v>
      </c>
      <c r="AZ21" s="198">
        <v>18.590569474028658</v>
      </c>
      <c r="BA21" s="198">
        <v>3.7287447753083944E-2</v>
      </c>
      <c r="BC21" s="198">
        <v>0.99429999999999996</v>
      </c>
      <c r="BD21" s="198">
        <v>2.834982328391961E-3</v>
      </c>
      <c r="BE21" s="198">
        <v>17.779730999502785</v>
      </c>
      <c r="BF21" s="198">
        <v>3.5104447739140489E-2</v>
      </c>
      <c r="BH21" s="198">
        <v>1.00241</v>
      </c>
      <c r="BI21" s="198">
        <v>2.9615420504054859E-3</v>
      </c>
      <c r="BJ21" s="198">
        <v>17.019924866591644</v>
      </c>
      <c r="BK21" s="198">
        <v>3.332185995654656E-2</v>
      </c>
      <c r="BM21" s="198">
        <v>1.01071</v>
      </c>
      <c r="BN21" s="198">
        <v>3.0903564199358229E-3</v>
      </c>
      <c r="BO21" s="198">
        <v>16.310488609660084</v>
      </c>
      <c r="BP21" s="198">
        <v>3.1865239988174712E-2</v>
      </c>
      <c r="BR21" s="198">
        <v>1.0189999999999999</v>
      </c>
      <c r="BS21" s="198">
        <v>3.2208520944842361E-3</v>
      </c>
      <c r="BT21" s="198">
        <v>15.649654721330714</v>
      </c>
      <c r="BU21" s="198">
        <v>3.0674956899358674E-2</v>
      </c>
      <c r="BW21" s="198">
        <v>1.02712</v>
      </c>
      <c r="BX21" s="198">
        <v>3.3525037409077624E-3</v>
      </c>
      <c r="BY21" s="198">
        <v>15.035098267632311</v>
      </c>
      <c r="BZ21" s="198">
        <v>2.9703525591304476E-2</v>
      </c>
      <c r="CB21" s="198">
        <v>1.0349600000000001</v>
      </c>
      <c r="CC21" s="198">
        <v>3.4848883446451972E-3</v>
      </c>
      <c r="CD21" s="198">
        <v>14.46394208428649</v>
      </c>
      <c r="CE21" s="198">
        <v>2.8912521985952181E-2</v>
      </c>
      <c r="CG21" s="198">
        <v>1.0424500000000001</v>
      </c>
      <c r="CH21" s="198">
        <v>3.6176763030040292E-3</v>
      </c>
      <c r="CI21" s="198">
        <v>13.933038493603719</v>
      </c>
      <c r="CJ21" s="198">
        <v>2.8270841276600955E-2</v>
      </c>
    </row>
    <row r="22" spans="34:88" x14ac:dyDescent="0.2">
      <c r="AL22" s="197">
        <v>6316.16</v>
      </c>
      <c r="AM22" s="198">
        <v>9.5635999999999992</v>
      </c>
      <c r="AN22" s="198">
        <v>1.0249200000000001</v>
      </c>
      <c r="AO22" s="198">
        <v>2.3879576704833316E-3</v>
      </c>
      <c r="AP22" s="198">
        <v>21.108089062965231</v>
      </c>
      <c r="AQ22" s="198">
        <v>4.6091404268484411E-2</v>
      </c>
      <c r="AR22" s="192"/>
      <c r="AS22" s="198">
        <v>1.0275099999999999</v>
      </c>
      <c r="AT22" s="198">
        <v>2.4911840898759864E-3</v>
      </c>
      <c r="AU22" s="198">
        <v>20.233439749393376</v>
      </c>
      <c r="AV22" s="198">
        <v>4.2631808712658155E-2</v>
      </c>
      <c r="AX22" s="198">
        <v>1.0314300000000001</v>
      </c>
      <c r="AY22" s="198">
        <v>2.5982508560053359E-3</v>
      </c>
      <c r="AZ22" s="198">
        <v>19.399675389561235</v>
      </c>
      <c r="BA22" s="198">
        <v>3.9791299968232996E-2</v>
      </c>
      <c r="BC22" s="198">
        <v>1.0363199999999999</v>
      </c>
      <c r="BD22" s="198">
        <v>2.7085944624582023E-3</v>
      </c>
      <c r="BE22" s="198">
        <v>18.609365073207584</v>
      </c>
      <c r="BF22" s="198">
        <v>3.7453022776332737E-2</v>
      </c>
      <c r="BH22" s="198">
        <v>1.0418700000000001</v>
      </c>
      <c r="BI22" s="198">
        <v>2.821650606275543E-3</v>
      </c>
      <c r="BJ22" s="198">
        <v>17.863736592705166</v>
      </c>
      <c r="BK22" s="198">
        <v>3.5524586308433553E-2</v>
      </c>
      <c r="BM22" s="198">
        <v>1.0478099999999999</v>
      </c>
      <c r="BN22" s="198">
        <v>2.9368498069502142E-3</v>
      </c>
      <c r="BO22" s="198">
        <v>17.16302381819678</v>
      </c>
      <c r="BP22" s="198">
        <v>3.3932702956501144E-2</v>
      </c>
      <c r="BR22" s="198">
        <v>1.05396</v>
      </c>
      <c r="BS22" s="198">
        <v>3.0537811961698249E-3</v>
      </c>
      <c r="BT22" s="198">
        <v>16.505839793097618</v>
      </c>
      <c r="BU22" s="198">
        <v>3.2616873707843289E-2</v>
      </c>
      <c r="BW22" s="198">
        <v>1.0601400000000001</v>
      </c>
      <c r="BX22" s="198">
        <v>3.1719658009507893E-3</v>
      </c>
      <c r="BY22" s="198">
        <v>15.890846985816902</v>
      </c>
      <c r="BZ22" s="198">
        <v>3.1529990741840597E-2</v>
      </c>
      <c r="CB22" s="198">
        <v>1.06623</v>
      </c>
      <c r="CC22" s="198">
        <v>3.2910417405512208E-3</v>
      </c>
      <c r="CD22" s="198">
        <v>15.315886932114905</v>
      </c>
      <c r="CE22" s="198">
        <v>3.0633135716705864E-2</v>
      </c>
      <c r="CG22" s="198">
        <v>1.07213</v>
      </c>
      <c r="CH22" s="198">
        <v>3.410665355215827E-3</v>
      </c>
      <c r="CI22" s="198">
        <v>14.778706773465757</v>
      </c>
      <c r="CJ22" s="198">
        <v>2.9895050876936776E-2</v>
      </c>
    </row>
    <row r="23" spans="34:88" x14ac:dyDescent="0.2">
      <c r="AL23" s="197">
        <v>6842.42</v>
      </c>
      <c r="AM23" s="198">
        <v>10.3604</v>
      </c>
      <c r="AN23" s="198">
        <v>1.0760799999999999</v>
      </c>
      <c r="AO23" s="198">
        <v>2.3143264049853701E-3</v>
      </c>
      <c r="AP23" s="198">
        <v>21.779651771925302</v>
      </c>
      <c r="AQ23" s="198">
        <v>4.8820177497447229E-2</v>
      </c>
      <c r="AR23" s="192"/>
      <c r="AS23" s="198">
        <v>1.07575</v>
      </c>
      <c r="AT23" s="198">
        <v>2.407545555682216E-3</v>
      </c>
      <c r="AU23" s="198">
        <v>20.936352821315577</v>
      </c>
      <c r="AV23" s="198">
        <v>4.5204429074199783E-2</v>
      </c>
      <c r="AX23" s="198">
        <v>1.0768899999999999</v>
      </c>
      <c r="AY23" s="198">
        <v>2.5041253146628755E-3</v>
      </c>
      <c r="AZ23" s="198">
        <v>20.128874099074022</v>
      </c>
      <c r="BA23" s="198">
        <v>4.2215977873639086E-2</v>
      </c>
      <c r="BC23" s="198">
        <v>1.07917</v>
      </c>
      <c r="BD23" s="198">
        <v>2.6036545671463212E-3</v>
      </c>
      <c r="BE23" s="198">
        <v>19.359412659106571</v>
      </c>
      <c r="BF23" s="198">
        <v>3.9737223433677221E-2</v>
      </c>
      <c r="BH23" s="198">
        <v>1.0822799999999999</v>
      </c>
      <c r="BI23" s="198">
        <v>2.7056569420370762E-3</v>
      </c>
      <c r="BJ23" s="198">
        <v>18.629569183003401</v>
      </c>
      <c r="BK23" s="198">
        <v>3.767680470664532E-2</v>
      </c>
      <c r="BM23" s="198">
        <v>1.0859799999999999</v>
      </c>
      <c r="BN23" s="198">
        <v>2.8097289071540312E-3</v>
      </c>
      <c r="BO23" s="198">
        <v>17.939532550209083</v>
      </c>
      <c r="BP23" s="198">
        <v>3.5960537039154007E-2</v>
      </c>
      <c r="BR23" s="198">
        <v>1.09005</v>
      </c>
      <c r="BS23" s="198">
        <v>2.9154365999164039E-3</v>
      </c>
      <c r="BT23" s="198">
        <v>17.289082255672593</v>
      </c>
      <c r="BU23" s="198">
        <v>3.4529780010381719E-2</v>
      </c>
      <c r="BW23" s="198">
        <v>1.0943400000000001</v>
      </c>
      <c r="BX23" s="198">
        <v>3.0224626540512473E-3</v>
      </c>
      <c r="BY23" s="198">
        <v>16.676872125976811</v>
      </c>
      <c r="BZ23" s="198">
        <v>3.3335849952957103E-2</v>
      </c>
      <c r="CB23" s="198">
        <v>1.0987</v>
      </c>
      <c r="CC23" s="198">
        <v>3.1304373144134517E-3</v>
      </c>
      <c r="CD23" s="198">
        <v>16.101655495566931</v>
      </c>
      <c r="CE23" s="198">
        <v>3.2340416015612966E-2</v>
      </c>
      <c r="CG23" s="198">
        <v>1.10304</v>
      </c>
      <c r="CH23" s="198">
        <v>3.2391146290347565E-3</v>
      </c>
      <c r="CI23" s="198">
        <v>15.561420005124578</v>
      </c>
      <c r="CJ23" s="198">
        <v>3.1511155998286827E-2</v>
      </c>
    </row>
    <row r="24" spans="34:88" x14ac:dyDescent="0.2">
      <c r="AL24" s="197">
        <v>7368.68</v>
      </c>
      <c r="AM24" s="198">
        <v>11.1572</v>
      </c>
      <c r="AN24" s="198">
        <v>1.1273599999999999</v>
      </c>
      <c r="AO24" s="198">
        <v>2.2514520592562025E-3</v>
      </c>
      <c r="AP24" s="198">
        <v>22.387873186074046</v>
      </c>
      <c r="AQ24" s="198">
        <v>5.144776387949912E-2</v>
      </c>
      <c r="AR24" s="192"/>
      <c r="AS24" s="198">
        <v>1.12425</v>
      </c>
      <c r="AT24" s="198">
        <v>2.3363940239862044E-3</v>
      </c>
      <c r="AU24" s="198">
        <v>21.573939442438313</v>
      </c>
      <c r="AV24" s="198">
        <v>4.7690886818370123E-2</v>
      </c>
      <c r="AX24" s="198">
        <v>1.12277</v>
      </c>
      <c r="AY24" s="198">
        <v>2.4243512702109165E-3</v>
      </c>
      <c r="AZ24" s="198">
        <v>20.79122106045628</v>
      </c>
      <c r="BA24" s="198">
        <v>4.456673904366578E-2</v>
      </c>
      <c r="BC24" s="198">
        <v>1.1225700000000001</v>
      </c>
      <c r="BD24" s="198">
        <v>2.5149361554579657E-3</v>
      </c>
      <c r="BE24" s="198">
        <v>20.042347030465447</v>
      </c>
      <c r="BF24" s="198">
        <v>4.1959983146315868E-2</v>
      </c>
      <c r="BH24" s="198">
        <v>1.12337</v>
      </c>
      <c r="BI24" s="198">
        <v>2.607810025977817E-3</v>
      </c>
      <c r="BJ24" s="198">
        <v>19.328564076769105</v>
      </c>
      <c r="BK24" s="198">
        <v>3.977799018875184E-2</v>
      </c>
      <c r="BM24" s="198">
        <v>1.1249100000000001</v>
      </c>
      <c r="BN24" s="198">
        <v>2.7025914695712121E-3</v>
      </c>
      <c r="BO24" s="198">
        <v>18.650700172286985</v>
      </c>
      <c r="BP24" s="198">
        <v>3.7948015788398785E-2</v>
      </c>
      <c r="BR24" s="198">
        <v>1.1269800000000001</v>
      </c>
      <c r="BS24" s="198">
        <v>2.7989389307175776E-3</v>
      </c>
      <c r="BT24" s="198">
        <v>18.008689876713568</v>
      </c>
      <c r="BU24" s="198">
        <v>3.6410885881728368E-2</v>
      </c>
      <c r="BW24" s="198">
        <v>1.1294299999999999</v>
      </c>
      <c r="BX24" s="198">
        <v>2.8965966268344155E-3</v>
      </c>
      <c r="BY24" s="198">
        <v>17.401533482499136</v>
      </c>
      <c r="BZ24" s="198">
        <v>3.5117647293015843E-2</v>
      </c>
      <c r="CB24" s="198">
        <v>1.1321000000000001</v>
      </c>
      <c r="CC24" s="198">
        <v>2.9952336706770334E-3</v>
      </c>
      <c r="CD24" s="198">
        <v>16.828477751373462</v>
      </c>
      <c r="CE24" s="198">
        <v>3.4030002143147692E-2</v>
      </c>
      <c r="CG24" s="198">
        <v>1.13489</v>
      </c>
      <c r="CH24" s="198">
        <v>3.0946308931857533E-3</v>
      </c>
      <c r="CI24" s="198">
        <v>16.287959671747387</v>
      </c>
      <c r="CJ24" s="198">
        <v>3.3115360498222696E-2</v>
      </c>
    </row>
    <row r="25" spans="34:88" x14ac:dyDescent="0.2">
      <c r="AL25" s="197">
        <v>7894.95</v>
      </c>
      <c r="AM25" s="198">
        <v>11.9541</v>
      </c>
      <c r="AN25" s="198">
        <v>1.17865</v>
      </c>
      <c r="AO25" s="198">
        <v>2.196975712322434E-3</v>
      </c>
      <c r="AP25" s="198">
        <v>22.943004287411775</v>
      </c>
      <c r="AQ25" s="198">
        <v>5.3983753224667655E-2</v>
      </c>
      <c r="AR25" s="192"/>
      <c r="AS25" s="198">
        <v>1.1729099999999999</v>
      </c>
      <c r="AT25" s="198">
        <v>2.2750355763283274E-3</v>
      </c>
      <c r="AU25" s="198">
        <v>22.155795589140613</v>
      </c>
      <c r="AV25" s="198">
        <v>5.0095281602555955E-2</v>
      </c>
      <c r="AX25" s="198">
        <v>1.16892</v>
      </c>
      <c r="AY25" s="198">
        <v>2.3557535183883365E-3</v>
      </c>
      <c r="AZ25" s="198">
        <v>21.396645614112177</v>
      </c>
      <c r="BA25" s="198">
        <v>4.6847363940575627E-2</v>
      </c>
      <c r="BC25" s="198">
        <v>1.16635</v>
      </c>
      <c r="BD25" s="198">
        <v>2.4388367986286591E-3</v>
      </c>
      <c r="BE25" s="198">
        <v>20.667731114888717</v>
      </c>
      <c r="BF25" s="198">
        <v>4.4123167052523247E-2</v>
      </c>
      <c r="BH25" s="198">
        <v>1.16493</v>
      </c>
      <c r="BI25" s="198">
        <v>2.5240227875625138E-3</v>
      </c>
      <c r="BJ25" s="198">
        <v>19.970193389509848</v>
      </c>
      <c r="BK25" s="198">
        <v>4.1829665308160076E-2</v>
      </c>
      <c r="BM25" s="198">
        <v>1.16439</v>
      </c>
      <c r="BN25" s="198">
        <v>2.6109671275097797E-3</v>
      </c>
      <c r="BO25" s="198">
        <v>19.305192568712013</v>
      </c>
      <c r="BP25" s="198">
        <v>3.9894878991807256E-2</v>
      </c>
      <c r="BR25" s="198">
        <v>1.1645399999999999</v>
      </c>
      <c r="BS25" s="198">
        <v>2.6994291743456258E-3</v>
      </c>
      <c r="BT25" s="198">
        <v>18.672548872993481</v>
      </c>
      <c r="BU25" s="198">
        <v>3.8258587331081208E-2</v>
      </c>
      <c r="BW25" s="198">
        <v>1.1651899999999999</v>
      </c>
      <c r="BX25" s="198">
        <v>2.7891107715128731E-3</v>
      </c>
      <c r="BY25" s="198">
        <v>18.072148192168168</v>
      </c>
      <c r="BZ25" s="198">
        <v>3.6873441163690492E-2</v>
      </c>
      <c r="CB25" s="198">
        <v>1.16621</v>
      </c>
      <c r="CC25" s="198">
        <v>2.8798044122438321E-3</v>
      </c>
      <c r="CD25" s="198">
        <v>17.503002277810712</v>
      </c>
      <c r="CE25" s="198">
        <v>3.5699456101786153E-2</v>
      </c>
      <c r="CG25" s="198">
        <v>1.16747</v>
      </c>
      <c r="CH25" s="198">
        <v>2.9712632391592094E-3</v>
      </c>
      <c r="CI25" s="198">
        <v>16.964240166555054</v>
      </c>
      <c r="CJ25" s="198">
        <v>3.4704755695405987E-2</v>
      </c>
    </row>
    <row r="26" spans="34:88" x14ac:dyDescent="0.2">
      <c r="AL26" s="197">
        <v>8421.2099999999991</v>
      </c>
      <c r="AM26" s="198">
        <v>12.7509</v>
      </c>
      <c r="AN26" s="198">
        <v>1.2299</v>
      </c>
      <c r="AO26" s="198">
        <v>2.1492408335619228E-3</v>
      </c>
      <c r="AP26" s="198">
        <v>23.452570972987189</v>
      </c>
      <c r="AQ26" s="198">
        <v>5.643397736536699E-2</v>
      </c>
      <c r="AR26" s="192"/>
      <c r="AS26" s="198">
        <v>1.2216100000000001</v>
      </c>
      <c r="AT26" s="198">
        <v>2.2214214902345126E-3</v>
      </c>
      <c r="AU26" s="198">
        <v>22.690526497892087</v>
      </c>
      <c r="AV26" s="198">
        <v>5.2425583983573221E-2</v>
      </c>
      <c r="AX26" s="198">
        <v>1.2152099999999999</v>
      </c>
      <c r="AY26" s="198">
        <v>2.2959968088513008E-3</v>
      </c>
      <c r="AZ26" s="198">
        <v>21.953524932106124</v>
      </c>
      <c r="BA26" s="198">
        <v>4.906320138653366E-2</v>
      </c>
      <c r="BC26" s="198">
        <v>1.2103699999999999</v>
      </c>
      <c r="BD26" s="198">
        <v>2.3727221404841663E-3</v>
      </c>
      <c r="BE26" s="198">
        <v>21.243626603858338</v>
      </c>
      <c r="BF26" s="198">
        <v>4.6229988575597736E-2</v>
      </c>
      <c r="BH26" s="198">
        <v>1.2068099999999999</v>
      </c>
      <c r="BI26" s="198">
        <v>2.4513607521959432E-3</v>
      </c>
      <c r="BJ26" s="198">
        <v>20.562140085664602</v>
      </c>
      <c r="BK26" s="198">
        <v>4.3833517602722055E-2</v>
      </c>
      <c r="BM26" s="198">
        <v>1.20427</v>
      </c>
      <c r="BN26" s="198">
        <v>2.5316384967903139E-3</v>
      </c>
      <c r="BO26" s="198">
        <v>19.910118783174763</v>
      </c>
      <c r="BP26" s="198">
        <v>4.1801176602554467E-2</v>
      </c>
      <c r="BR26" s="198">
        <v>1.20255</v>
      </c>
      <c r="BS26" s="198">
        <v>2.6133378338742295E-3</v>
      </c>
      <c r="BT26" s="198">
        <v>19.287679738072072</v>
      </c>
      <c r="BU26" s="198">
        <v>4.007312553788387E-2</v>
      </c>
      <c r="BW26" s="198">
        <v>1.20146</v>
      </c>
      <c r="BX26" s="198">
        <v>2.6962069079806295E-3</v>
      </c>
      <c r="BY26" s="198">
        <v>18.694864640379173</v>
      </c>
      <c r="BZ26" s="198">
        <v>3.8601782698002511E-2</v>
      </c>
      <c r="CB26" s="198">
        <v>1.20086</v>
      </c>
      <c r="CC26" s="198">
        <v>2.7800556979869222E-3</v>
      </c>
      <c r="CD26" s="198">
        <v>18.131011987872142</v>
      </c>
      <c r="CE26" s="198">
        <v>3.7347215541433304E-2</v>
      </c>
      <c r="CG26" s="198">
        <v>1.2006300000000001</v>
      </c>
      <c r="CH26" s="198">
        <v>2.864702173440634E-3</v>
      </c>
      <c r="CI26" s="198">
        <v>17.595275227726113</v>
      </c>
      <c r="CJ26" s="198">
        <v>3.6276757531803379E-2</v>
      </c>
    </row>
    <row r="27" spans="34:88" x14ac:dyDescent="0.2">
      <c r="AL27" s="197">
        <v>8947.4699999999993</v>
      </c>
      <c r="AM27" s="198">
        <v>13.547700000000001</v>
      </c>
      <c r="AN27" s="198">
        <v>1.28105</v>
      </c>
      <c r="AO27" s="198">
        <v>2.106956692785782E-3</v>
      </c>
      <c r="AP27" s="198">
        <v>23.923236466957569</v>
      </c>
      <c r="AQ27" s="198">
        <v>5.880671764717138E-2</v>
      </c>
      <c r="AR27" s="192"/>
      <c r="AS27" s="198">
        <v>1.2703100000000001</v>
      </c>
      <c r="AT27" s="198">
        <v>2.1741142034812323E-3</v>
      </c>
      <c r="AU27" s="198">
        <v>23.184257343263454</v>
      </c>
      <c r="AV27" s="198">
        <v>5.4685451787555454E-2</v>
      </c>
      <c r="AX27" s="198">
        <v>1.2615799999999999</v>
      </c>
      <c r="AY27" s="198">
        <v>2.2434117358811423E-3</v>
      </c>
      <c r="AZ27" s="198">
        <v>22.46811068203472</v>
      </c>
      <c r="BA27" s="198">
        <v>5.1217046051048744E-2</v>
      </c>
      <c r="BC27" s="198">
        <v>1.2545500000000001</v>
      </c>
      <c r="BD27" s="198">
        <v>2.3146799691234881E-3</v>
      </c>
      <c r="BE27" s="198">
        <v>21.7763249604827</v>
      </c>
      <c r="BF27" s="198">
        <v>4.8282491275270074E-2</v>
      </c>
      <c r="BH27" s="198">
        <v>1.24892</v>
      </c>
      <c r="BI27" s="198">
        <v>2.3876859025201789E-3</v>
      </c>
      <c r="BJ27" s="198">
        <v>21.110491599397943</v>
      </c>
      <c r="BK27" s="198">
        <v>4.579050812354625E-2</v>
      </c>
      <c r="BM27" s="198">
        <v>1.24444</v>
      </c>
      <c r="BN27" s="198">
        <v>2.462215337097774E-3</v>
      </c>
      <c r="BO27" s="198">
        <v>20.471492654483271</v>
      </c>
      <c r="BP27" s="198">
        <v>4.3667577182220155E-2</v>
      </c>
      <c r="BR27" s="198">
        <v>1.2408999999999999</v>
      </c>
      <c r="BS27" s="198">
        <v>2.5380691152545546E-3</v>
      </c>
      <c r="BT27" s="198">
        <v>19.859673199678713</v>
      </c>
      <c r="BU27" s="198">
        <v>4.1854176997888265E-2</v>
      </c>
      <c r="BW27" s="198">
        <v>1.2381200000000001</v>
      </c>
      <c r="BX27" s="198">
        <v>2.6150553540709156E-3</v>
      </c>
      <c r="BY27" s="198">
        <v>19.275011945229455</v>
      </c>
      <c r="BZ27" s="198">
        <v>4.0301970793829044E-2</v>
      </c>
      <c r="CB27" s="198">
        <v>1.23594</v>
      </c>
      <c r="CC27" s="198">
        <v>2.6929776722730936E-3</v>
      </c>
      <c r="CD27" s="198">
        <v>18.7172822508428</v>
      </c>
      <c r="CE27" s="198">
        <v>3.897166267657922E-2</v>
      </c>
      <c r="CG27" s="198">
        <v>1.23424</v>
      </c>
      <c r="CH27" s="198">
        <v>2.7716867807324307E-3</v>
      </c>
      <c r="CI27" s="198">
        <v>18.185757329272729</v>
      </c>
      <c r="CJ27" s="198">
        <v>3.7830147401745055E-2</v>
      </c>
    </row>
    <row r="28" spans="34:88" x14ac:dyDescent="0.2">
      <c r="AL28" s="197">
        <v>9473.74</v>
      </c>
      <c r="AM28" s="198">
        <v>14.3446</v>
      </c>
      <c r="AN28" s="198">
        <v>1.33209</v>
      </c>
      <c r="AO28" s="198">
        <v>2.0691972167275014E-3</v>
      </c>
      <c r="AP28" s="198">
        <v>24.359796533493572</v>
      </c>
      <c r="AQ28" s="198">
        <v>6.110617105842174E-2</v>
      </c>
      <c r="AR28" s="192"/>
      <c r="AS28" s="198">
        <v>1.3189599999999999</v>
      </c>
      <c r="AT28" s="198">
        <v>2.1319796283668794E-3</v>
      </c>
      <c r="AU28" s="198">
        <v>23.642450667206472</v>
      </c>
      <c r="AV28" s="198">
        <v>5.6880353879940462E-2</v>
      </c>
      <c r="AX28" s="198">
        <v>1.3079799999999999</v>
      </c>
      <c r="AY28" s="198">
        <v>2.1967168667167232E-3</v>
      </c>
      <c r="AZ28" s="198">
        <v>22.945707729048511</v>
      </c>
      <c r="BA28" s="198">
        <v>5.3312219829489832E-2</v>
      </c>
      <c r="BC28" s="198">
        <v>1.2988200000000001</v>
      </c>
      <c r="BD28" s="198">
        <v>2.2632406525828243E-3</v>
      </c>
      <c r="BE28" s="198">
        <v>22.271260959204842</v>
      </c>
      <c r="BF28" s="198">
        <v>5.0283628106043927E-2</v>
      </c>
      <c r="BH28" s="198">
        <v>1.29118</v>
      </c>
      <c r="BI28" s="198">
        <v>2.331353631312566E-3</v>
      </c>
      <c r="BJ28" s="198">
        <v>21.620582356171635</v>
      </c>
      <c r="BK28" s="198">
        <v>4.7702693204029763E-2</v>
      </c>
      <c r="BM28" s="198">
        <v>1.2848200000000001</v>
      </c>
      <c r="BN28" s="198">
        <v>2.4008948921498325E-3</v>
      </c>
      <c r="BO28" s="198">
        <v>20.99434812909232</v>
      </c>
      <c r="BP28" s="198">
        <v>4.549490091044267E-2</v>
      </c>
      <c r="BR28" s="198">
        <v>1.2795099999999999</v>
      </c>
      <c r="BS28" s="198">
        <v>2.4716623009145983E-3</v>
      </c>
      <c r="BT28" s="198">
        <v>20.393248369124496</v>
      </c>
      <c r="BU28" s="198">
        <v>4.3601636547967532E-2</v>
      </c>
      <c r="BW28" s="198">
        <v>1.2750699999999999</v>
      </c>
      <c r="BX28" s="198">
        <v>2.5434954447181835E-3</v>
      </c>
      <c r="BY28" s="198">
        <v>19.817304289584833</v>
      </c>
      <c r="BZ28" s="198">
        <v>4.1974150020392564E-2</v>
      </c>
      <c r="CB28" s="198">
        <v>1.27135</v>
      </c>
      <c r="CC28" s="198">
        <v>2.616250240723891E-3</v>
      </c>
      <c r="CD28" s="198">
        <v>19.266208714502209</v>
      </c>
      <c r="CE28" s="198">
        <v>4.0572349490187551E-2</v>
      </c>
      <c r="CG28" s="198">
        <v>1.2682</v>
      </c>
      <c r="CH28" s="198">
        <v>2.6897447681696984E-3</v>
      </c>
      <c r="CI28" s="198">
        <v>18.739779247327093</v>
      </c>
      <c r="CJ28" s="198">
        <v>3.9364140576697168E-2</v>
      </c>
    </row>
    <row r="29" spans="34:88" x14ac:dyDescent="0.2">
      <c r="AL29" s="197">
        <v>10000</v>
      </c>
      <c r="AM29" s="198">
        <v>15.141400000000001</v>
      </c>
      <c r="AN29" s="198">
        <v>1.383</v>
      </c>
      <c r="AO29" s="198">
        <v>2.0352228E-3</v>
      </c>
      <c r="AP29" s="198">
        <v>24.766439913680774</v>
      </c>
      <c r="AQ29" s="198">
        <v>6.3337312118207409E-2</v>
      </c>
      <c r="AR29" s="192"/>
      <c r="AS29" s="198">
        <v>1.3675299999999999</v>
      </c>
      <c r="AT29" s="198">
        <v>2.094159468111111E-3</v>
      </c>
      <c r="AU29" s="198">
        <v>24.06942926491535</v>
      </c>
      <c r="AV29" s="198">
        <v>5.9014370901822905E-2</v>
      </c>
      <c r="AX29" s="198">
        <v>1.35436</v>
      </c>
      <c r="AY29" s="198">
        <v>2.1549071475555552E-3</v>
      </c>
      <c r="AZ29" s="198">
        <v>23.390902593798948</v>
      </c>
      <c r="BA29" s="198">
        <v>5.5352669153557306E-2</v>
      </c>
      <c r="BC29" s="198">
        <v>1.3431200000000001</v>
      </c>
      <c r="BD29" s="198">
        <v>2.2172672666666668E-3</v>
      </c>
      <c r="BE29" s="198">
        <v>22.733038973208643</v>
      </c>
      <c r="BF29" s="198">
        <v>5.2236562579897339E-2</v>
      </c>
      <c r="BH29" s="198">
        <v>1.3335300000000001</v>
      </c>
      <c r="BI29" s="198">
        <v>2.2811067840000001E-3</v>
      </c>
      <c r="BJ29" s="198">
        <v>22.096827531574746</v>
      </c>
      <c r="BK29" s="198">
        <v>4.9571906065397867E-2</v>
      </c>
      <c r="BM29" s="198">
        <v>1.3253299999999999</v>
      </c>
      <c r="BN29" s="198">
        <v>2.3462611507777771E-3</v>
      </c>
      <c r="BO29" s="198">
        <v>21.483210924940721</v>
      </c>
      <c r="BP29" s="198">
        <v>4.7285097060866366E-2</v>
      </c>
      <c r="BR29" s="198">
        <v>1.3183</v>
      </c>
      <c r="BS29" s="198">
        <v>2.4125768866666668E-3</v>
      </c>
      <c r="BT29" s="198">
        <v>20.892690908929097</v>
      </c>
      <c r="BU29" s="198">
        <v>4.5316512704691336E-2</v>
      </c>
      <c r="BW29" s="198">
        <v>1.3122499999999999</v>
      </c>
      <c r="BX29" s="198">
        <v>2.4799046305555555E-3</v>
      </c>
      <c r="BY29" s="198">
        <v>20.32546839346044</v>
      </c>
      <c r="BZ29" s="198">
        <v>4.3617667511316217E-2</v>
      </c>
      <c r="CB29" s="198">
        <v>1.30701</v>
      </c>
      <c r="CC29" s="198">
        <v>2.5480886066666666E-3</v>
      </c>
      <c r="CD29" s="198">
        <v>19.781581792436857</v>
      </c>
      <c r="CE29" s="198">
        <v>4.2149079876646518E-2</v>
      </c>
      <c r="CG29" s="198">
        <v>1.30244</v>
      </c>
      <c r="CH29" s="198">
        <v>2.6169926919999997E-3</v>
      </c>
      <c r="CI29" s="198">
        <v>19.260742814161873</v>
      </c>
      <c r="CJ29" s="198">
        <v>4.0877763081890707E-2</v>
      </c>
    </row>
    <row r="30" spans="34:88" x14ac:dyDescent="0.2">
      <c r="AL30" s="197"/>
      <c r="AM30" s="198"/>
      <c r="AN30" s="198"/>
      <c r="AO30" s="198"/>
      <c r="AP30" s="198"/>
      <c r="AQ30" s="198"/>
      <c r="AS30" s="198"/>
      <c r="AT30" s="198"/>
      <c r="AU30" s="198"/>
      <c r="AV30" s="198"/>
      <c r="AX30" s="198"/>
      <c r="AY30" s="198"/>
      <c r="AZ30" s="198"/>
      <c r="BA30" s="198"/>
      <c r="BC30" s="198"/>
      <c r="BD30" s="198"/>
      <c r="BE30" s="198"/>
      <c r="BF30" s="198"/>
      <c r="BH30" s="198"/>
      <c r="BI30" s="198"/>
      <c r="BJ30" s="198"/>
      <c r="BK30" s="198"/>
      <c r="BM30" s="198"/>
      <c r="BN30" s="198"/>
      <c r="BO30" s="198"/>
      <c r="BP30" s="198"/>
      <c r="BR30" s="198"/>
      <c r="BS30" s="198"/>
      <c r="BT30" s="198"/>
      <c r="BU30" s="198"/>
      <c r="BW30" s="198"/>
      <c r="BX30" s="198"/>
      <c r="BY30" s="198"/>
      <c r="BZ30" s="198"/>
      <c r="CB30" s="198"/>
      <c r="CC30" s="198"/>
      <c r="CD30" s="198"/>
      <c r="CE30" s="198"/>
      <c r="CG30" s="198"/>
      <c r="CH30" s="198"/>
      <c r="CI30" s="198"/>
      <c r="CJ30" s="198"/>
    </row>
    <row r="31" spans="34:88" x14ac:dyDescent="0.2">
      <c r="AL31" s="197"/>
      <c r="AM31" s="198"/>
      <c r="AN31" s="198"/>
      <c r="AO31" s="198"/>
      <c r="AP31" s="198"/>
      <c r="AQ31" s="198"/>
      <c r="AS31" s="198"/>
      <c r="AT31" s="198"/>
      <c r="AU31" s="198"/>
      <c r="AV31" s="198"/>
      <c r="AX31" s="198"/>
      <c r="AY31" s="198"/>
      <c r="AZ31" s="198"/>
      <c r="BA31" s="198"/>
      <c r="BC31" s="198"/>
      <c r="BD31" s="198"/>
      <c r="BE31" s="198"/>
      <c r="BF31" s="198"/>
      <c r="BH31" s="198"/>
      <c r="BI31" s="198"/>
      <c r="BJ31" s="198"/>
      <c r="BK31" s="198"/>
      <c r="BM31" s="198"/>
      <c r="BN31" s="198"/>
      <c r="BO31" s="198"/>
      <c r="BP31" s="198"/>
      <c r="BR31" s="198"/>
      <c r="BS31" s="198"/>
      <c r="BT31" s="198"/>
      <c r="BU31" s="198"/>
      <c r="BW31" s="198"/>
      <c r="BX31" s="198"/>
      <c r="BY31" s="198"/>
      <c r="BZ31" s="198"/>
      <c r="CB31" s="198"/>
      <c r="CC31" s="198"/>
      <c r="CD31" s="198"/>
      <c r="CE31" s="198"/>
      <c r="CG31" s="198"/>
      <c r="CH31" s="198"/>
      <c r="CI31" s="198"/>
      <c r="CJ31" s="198"/>
    </row>
    <row r="32" spans="34:88" x14ac:dyDescent="0.2">
      <c r="AL32" s="197"/>
      <c r="AM32" s="198"/>
      <c r="AN32" s="198"/>
      <c r="AO32" s="198"/>
      <c r="AP32" s="198"/>
      <c r="AQ32" s="198"/>
      <c r="AS32" s="198"/>
      <c r="AT32" s="198"/>
      <c r="AU32" s="198"/>
      <c r="AV32" s="198"/>
      <c r="AX32" s="198"/>
      <c r="AY32" s="198"/>
      <c r="AZ32" s="198"/>
      <c r="BA32" s="198"/>
      <c r="BC32" s="198"/>
      <c r="BD32" s="198"/>
      <c r="BE32" s="198"/>
      <c r="BF32" s="198"/>
      <c r="BH32" s="198"/>
      <c r="BI32" s="198"/>
      <c r="BJ32" s="198"/>
      <c r="BK32" s="198"/>
      <c r="BM32" s="198"/>
      <c r="BN32" s="198"/>
      <c r="BO32" s="198"/>
      <c r="BP32" s="198"/>
      <c r="BR32" s="198"/>
      <c r="BS32" s="198"/>
      <c r="BT32" s="198"/>
      <c r="BU32" s="198"/>
      <c r="BW32" s="198"/>
      <c r="BX32" s="198"/>
      <c r="BY32" s="198"/>
      <c r="BZ32" s="198"/>
      <c r="CB32" s="198"/>
      <c r="CC32" s="198"/>
      <c r="CD32" s="198"/>
      <c r="CE32" s="198"/>
      <c r="CG32" s="198"/>
      <c r="CH32" s="198"/>
      <c r="CI32" s="198"/>
      <c r="CJ32" s="198"/>
    </row>
    <row r="33" spans="38:88" x14ac:dyDescent="0.2">
      <c r="AL33" s="197"/>
      <c r="AM33" s="198"/>
      <c r="AN33" s="198"/>
      <c r="AO33" s="198"/>
      <c r="AP33" s="198"/>
      <c r="AQ33" s="198"/>
      <c r="AS33" s="198"/>
      <c r="AT33" s="198"/>
      <c r="AU33" s="198"/>
      <c r="AV33" s="198"/>
      <c r="AX33" s="198"/>
      <c r="AY33" s="198"/>
      <c r="AZ33" s="198"/>
      <c r="BA33" s="198"/>
      <c r="BC33" s="198"/>
      <c r="BD33" s="198"/>
      <c r="BE33" s="198"/>
      <c r="BF33" s="198"/>
      <c r="BH33" s="198"/>
      <c r="BI33" s="198"/>
      <c r="BJ33" s="198"/>
      <c r="BK33" s="198"/>
      <c r="BM33" s="198"/>
      <c r="BN33" s="198"/>
      <c r="BO33" s="198"/>
      <c r="BP33" s="198"/>
      <c r="BR33" s="198"/>
      <c r="BS33" s="198"/>
      <c r="BT33" s="198"/>
      <c r="BU33" s="198"/>
      <c r="BW33" s="198"/>
      <c r="BX33" s="198"/>
      <c r="BY33" s="198"/>
      <c r="BZ33" s="198"/>
      <c r="CB33" s="198"/>
      <c r="CC33" s="198"/>
      <c r="CD33" s="198"/>
      <c r="CE33" s="198"/>
      <c r="CG33" s="198"/>
      <c r="CH33" s="198"/>
      <c r="CI33" s="198"/>
      <c r="CJ33" s="198"/>
    </row>
    <row r="34" spans="38:88" x14ac:dyDescent="0.2">
      <c r="AL34" s="197"/>
      <c r="AM34" s="198"/>
      <c r="AN34" s="198"/>
      <c r="AO34" s="198"/>
      <c r="AP34" s="198"/>
      <c r="AQ34" s="198"/>
      <c r="AS34" s="198"/>
      <c r="AT34" s="198"/>
      <c r="AU34" s="198"/>
      <c r="AV34" s="198"/>
      <c r="AX34" s="198"/>
      <c r="AY34" s="198"/>
      <c r="AZ34" s="198"/>
      <c r="BA34" s="198"/>
      <c r="BC34" s="198"/>
      <c r="BD34" s="198"/>
      <c r="BE34" s="198"/>
      <c r="BF34" s="198"/>
      <c r="BH34" s="198"/>
      <c r="BI34" s="198"/>
      <c r="BJ34" s="198"/>
      <c r="BK34" s="198"/>
      <c r="BM34" s="198"/>
      <c r="BN34" s="198"/>
      <c r="BO34" s="198"/>
      <c r="BP34" s="198"/>
      <c r="BR34" s="198"/>
      <c r="BS34" s="198"/>
      <c r="BT34" s="198"/>
      <c r="BU34" s="198"/>
      <c r="BW34" s="198"/>
      <c r="BX34" s="198"/>
      <c r="BY34" s="198"/>
      <c r="BZ34" s="198"/>
      <c r="CB34" s="198"/>
      <c r="CC34" s="198"/>
      <c r="CD34" s="198"/>
      <c r="CE34" s="198"/>
      <c r="CG34" s="198"/>
      <c r="CH34" s="198"/>
      <c r="CI34" s="198"/>
      <c r="CJ34" s="198"/>
    </row>
    <row r="35" spans="38:88" x14ac:dyDescent="0.2">
      <c r="AL35" s="197"/>
      <c r="AM35" s="198"/>
      <c r="AN35" s="198"/>
      <c r="AO35" s="198"/>
      <c r="AP35" s="198"/>
      <c r="AQ35" s="198"/>
      <c r="AS35" s="198"/>
      <c r="AT35" s="198"/>
      <c r="AU35" s="198"/>
      <c r="AV35" s="198"/>
      <c r="AX35" s="198"/>
      <c r="AY35" s="198"/>
      <c r="AZ35" s="198"/>
      <c r="BA35" s="198"/>
      <c r="BC35" s="198"/>
      <c r="BD35" s="198"/>
      <c r="BE35" s="198"/>
      <c r="BF35" s="198"/>
      <c r="BH35" s="198"/>
      <c r="BI35" s="198"/>
      <c r="BJ35" s="198"/>
      <c r="BK35" s="198"/>
      <c r="BM35" s="198"/>
      <c r="BN35" s="198"/>
      <c r="BO35" s="198"/>
      <c r="BP35" s="198"/>
      <c r="BR35" s="198"/>
      <c r="BS35" s="198"/>
      <c r="BT35" s="198"/>
      <c r="BU35" s="198"/>
      <c r="BW35" s="198"/>
      <c r="BX35" s="198"/>
      <c r="BY35" s="198"/>
      <c r="BZ35" s="198"/>
      <c r="CB35" s="198"/>
      <c r="CC35" s="198"/>
      <c r="CD35" s="198"/>
      <c r="CE35" s="198"/>
      <c r="CG35" s="198"/>
      <c r="CH35" s="198"/>
      <c r="CI35" s="198"/>
      <c r="CJ35" s="198"/>
    </row>
    <row r="36" spans="38:88" x14ac:dyDescent="0.2">
      <c r="AL36" s="197"/>
      <c r="AM36" s="198"/>
      <c r="AN36" s="198"/>
      <c r="AO36" s="198"/>
      <c r="AP36" s="198"/>
      <c r="AQ36" s="198"/>
      <c r="AS36" s="198"/>
      <c r="AT36" s="198"/>
      <c r="AU36" s="198"/>
      <c r="AV36" s="198"/>
      <c r="AX36" s="198"/>
      <c r="AY36" s="198"/>
      <c r="AZ36" s="198"/>
      <c r="BA36" s="198"/>
      <c r="BC36" s="198"/>
      <c r="BD36" s="198"/>
      <c r="BE36" s="198"/>
      <c r="BF36" s="198"/>
      <c r="BH36" s="198"/>
      <c r="BI36" s="198"/>
      <c r="BJ36" s="198"/>
      <c r="BK36" s="198"/>
      <c r="BM36" s="198"/>
      <c r="BN36" s="198"/>
      <c r="BO36" s="198"/>
      <c r="BP36" s="198"/>
      <c r="BR36" s="198"/>
      <c r="BS36" s="198"/>
      <c r="BT36" s="198"/>
      <c r="BU36" s="198"/>
      <c r="BW36" s="198"/>
      <c r="BX36" s="198"/>
      <c r="BY36" s="198"/>
      <c r="BZ36" s="198"/>
      <c r="CB36" s="198"/>
      <c r="CC36" s="198"/>
      <c r="CD36" s="198"/>
      <c r="CE36" s="198"/>
      <c r="CG36" s="198"/>
      <c r="CH36" s="198"/>
      <c r="CI36" s="198"/>
      <c r="CJ36" s="198"/>
    </row>
    <row r="37" spans="38:88" x14ac:dyDescent="0.2">
      <c r="AL37" s="197"/>
      <c r="AM37" s="198"/>
      <c r="AN37" s="198"/>
      <c r="AO37" s="198"/>
      <c r="AP37" s="198"/>
      <c r="AQ37" s="198"/>
      <c r="AS37" s="198"/>
      <c r="AT37" s="198"/>
      <c r="AU37" s="198"/>
      <c r="AV37" s="198"/>
      <c r="AX37" s="198"/>
      <c r="AY37" s="198"/>
      <c r="AZ37" s="198"/>
      <c r="BA37" s="198"/>
      <c r="BC37" s="198"/>
      <c r="BD37" s="198"/>
      <c r="BE37" s="198"/>
      <c r="BF37" s="198"/>
      <c r="BH37" s="198"/>
      <c r="BI37" s="198"/>
      <c r="BJ37" s="198"/>
      <c r="BK37" s="198"/>
      <c r="BM37" s="198"/>
      <c r="BN37" s="198"/>
      <c r="BO37" s="198"/>
      <c r="BP37" s="198"/>
      <c r="BR37" s="198"/>
      <c r="BS37" s="198"/>
      <c r="BT37" s="198"/>
      <c r="BU37" s="198"/>
      <c r="BW37" s="198"/>
      <c r="BX37" s="198"/>
      <c r="BY37" s="198"/>
      <c r="BZ37" s="198"/>
      <c r="CB37" s="198"/>
      <c r="CC37" s="198"/>
      <c r="CD37" s="198"/>
      <c r="CE37" s="198"/>
      <c r="CG37" s="198"/>
      <c r="CH37" s="198"/>
      <c r="CI37" s="198"/>
      <c r="CJ37" s="198"/>
    </row>
    <row r="38" spans="38:88" x14ac:dyDescent="0.2">
      <c r="AL38" s="197"/>
      <c r="AM38" s="198"/>
      <c r="AN38" s="198"/>
      <c r="AO38" s="198"/>
      <c r="AP38" s="198"/>
      <c r="AQ38" s="198"/>
      <c r="AS38" s="198"/>
      <c r="AT38" s="198"/>
      <c r="AU38" s="198"/>
      <c r="AV38" s="198"/>
      <c r="AX38" s="198"/>
      <c r="AY38" s="198"/>
      <c r="AZ38" s="198"/>
      <c r="BA38" s="198"/>
      <c r="BC38" s="198"/>
      <c r="BD38" s="198"/>
      <c r="BE38" s="198"/>
      <c r="BF38" s="198"/>
      <c r="BH38" s="198"/>
      <c r="BI38" s="198"/>
      <c r="BJ38" s="198"/>
      <c r="BK38" s="198"/>
      <c r="BM38" s="198"/>
      <c r="BN38" s="198"/>
      <c r="BO38" s="198"/>
      <c r="BP38" s="198"/>
      <c r="BR38" s="198"/>
      <c r="BS38" s="198"/>
      <c r="BT38" s="198"/>
      <c r="BU38" s="198"/>
      <c r="BW38" s="198"/>
      <c r="BX38" s="198"/>
      <c r="BY38" s="198"/>
      <c r="BZ38" s="198"/>
      <c r="CB38" s="198"/>
      <c r="CC38" s="198"/>
      <c r="CD38" s="198"/>
      <c r="CE38" s="198"/>
      <c r="CG38" s="198"/>
      <c r="CH38" s="198"/>
      <c r="CI38" s="198"/>
      <c r="CJ38" s="198"/>
    </row>
    <row r="39" spans="38:88" x14ac:dyDescent="0.2">
      <c r="AL39" s="197"/>
      <c r="AM39" s="198"/>
      <c r="AN39" s="198"/>
      <c r="AO39" s="198"/>
      <c r="AP39" s="198"/>
      <c r="AQ39" s="198"/>
      <c r="AS39" s="198"/>
      <c r="AT39" s="198"/>
      <c r="AU39" s="198"/>
      <c r="AV39" s="198"/>
      <c r="AX39" s="198"/>
      <c r="AY39" s="198"/>
      <c r="AZ39" s="198"/>
      <c r="BA39" s="198"/>
      <c r="BC39" s="198"/>
      <c r="BD39" s="198"/>
      <c r="BE39" s="198"/>
      <c r="BF39" s="198"/>
      <c r="BH39" s="198"/>
      <c r="BI39" s="198"/>
      <c r="BJ39" s="198"/>
      <c r="BK39" s="198"/>
      <c r="BM39" s="198"/>
      <c r="BN39" s="198"/>
      <c r="BO39" s="198"/>
      <c r="BP39" s="198"/>
      <c r="BR39" s="198"/>
      <c r="BS39" s="198"/>
      <c r="BT39" s="198"/>
      <c r="BU39" s="198"/>
      <c r="BW39" s="198"/>
      <c r="BX39" s="198"/>
      <c r="BY39" s="198"/>
      <c r="BZ39" s="198"/>
      <c r="CB39" s="198"/>
      <c r="CC39" s="198"/>
      <c r="CD39" s="198"/>
      <c r="CE39" s="198"/>
      <c r="CG39" s="198"/>
      <c r="CH39" s="198"/>
      <c r="CI39" s="198"/>
      <c r="CJ39" s="198"/>
    </row>
    <row r="40" spans="38:88" x14ac:dyDescent="0.2">
      <c r="AL40" s="197"/>
      <c r="AM40" s="198"/>
      <c r="AN40" s="198"/>
      <c r="AO40" s="198"/>
      <c r="AP40" s="198"/>
      <c r="AQ40" s="198"/>
      <c r="AS40" s="198"/>
      <c r="AT40" s="198"/>
      <c r="AU40" s="198"/>
      <c r="AV40" s="198"/>
      <c r="AX40" s="198"/>
      <c r="AY40" s="198"/>
      <c r="AZ40" s="198"/>
      <c r="BA40" s="198"/>
      <c r="BC40" s="198"/>
      <c r="BD40" s="198"/>
      <c r="BE40" s="198"/>
      <c r="BF40" s="198"/>
      <c r="BH40" s="198"/>
      <c r="BI40" s="198"/>
      <c r="BJ40" s="198"/>
      <c r="BK40" s="198"/>
      <c r="BM40" s="198"/>
      <c r="BN40" s="198"/>
      <c r="BO40" s="198"/>
      <c r="BP40" s="198"/>
      <c r="BR40" s="198"/>
      <c r="BS40" s="198"/>
      <c r="BT40" s="198"/>
      <c r="BU40" s="198"/>
      <c r="BW40" s="198"/>
      <c r="BX40" s="198"/>
      <c r="BY40" s="198"/>
      <c r="BZ40" s="198"/>
      <c r="CB40" s="198"/>
      <c r="CC40" s="198"/>
      <c r="CD40" s="198"/>
      <c r="CE40" s="198"/>
      <c r="CG40" s="198"/>
      <c r="CH40" s="198"/>
      <c r="CI40" s="198"/>
      <c r="CJ40" s="198"/>
    </row>
    <row r="41" spans="38:88" x14ac:dyDescent="0.2">
      <c r="AL41" s="197"/>
      <c r="AM41" s="198"/>
      <c r="AN41" s="198"/>
      <c r="AO41" s="198"/>
      <c r="AP41" s="198"/>
      <c r="AQ41" s="198"/>
      <c r="AS41" s="198"/>
      <c r="AT41" s="198"/>
      <c r="AU41" s="198"/>
      <c r="AV41" s="198"/>
      <c r="AX41" s="198"/>
      <c r="AY41" s="198"/>
      <c r="AZ41" s="198"/>
      <c r="BA41" s="198"/>
      <c r="BC41" s="198"/>
      <c r="BD41" s="198"/>
      <c r="BE41" s="198"/>
      <c r="BF41" s="198"/>
      <c r="BH41" s="198"/>
      <c r="BI41" s="198"/>
      <c r="BJ41" s="198"/>
      <c r="BK41" s="198"/>
      <c r="BM41" s="198"/>
      <c r="BN41" s="198"/>
      <c r="BO41" s="198"/>
      <c r="BP41" s="198"/>
      <c r="BR41" s="198"/>
      <c r="BS41" s="198"/>
      <c r="BT41" s="198"/>
      <c r="BU41" s="198"/>
      <c r="BW41" s="198"/>
      <c r="BX41" s="198"/>
      <c r="BY41" s="198"/>
      <c r="BZ41" s="198"/>
      <c r="CB41" s="198"/>
      <c r="CC41" s="198"/>
      <c r="CD41" s="198"/>
      <c r="CE41" s="198"/>
      <c r="CG41" s="198"/>
      <c r="CH41" s="198"/>
      <c r="CI41" s="198"/>
      <c r="CJ41" s="198"/>
    </row>
    <row r="42" spans="38:88" x14ac:dyDescent="0.2">
      <c r="AL42" s="197"/>
      <c r="AM42" s="198"/>
      <c r="AN42" s="198"/>
      <c r="AO42" s="198"/>
      <c r="AP42" s="198"/>
      <c r="AQ42" s="198"/>
      <c r="AS42" s="198"/>
      <c r="AT42" s="198"/>
      <c r="AU42" s="198"/>
      <c r="AV42" s="198"/>
      <c r="AX42" s="198"/>
      <c r="AY42" s="198"/>
      <c r="AZ42" s="198"/>
      <c r="BA42" s="198"/>
      <c r="BC42" s="198"/>
      <c r="BD42" s="198"/>
      <c r="BE42" s="198"/>
      <c r="BF42" s="198"/>
      <c r="BH42" s="198"/>
      <c r="BI42" s="198"/>
      <c r="BJ42" s="198"/>
      <c r="BK42" s="198"/>
      <c r="BM42" s="198"/>
      <c r="BN42" s="198"/>
      <c r="BO42" s="198"/>
      <c r="BP42" s="198"/>
      <c r="BR42" s="198"/>
      <c r="BS42" s="198"/>
      <c r="BT42" s="198"/>
      <c r="BU42" s="198"/>
      <c r="BW42" s="198"/>
      <c r="BX42" s="198"/>
      <c r="BY42" s="198"/>
      <c r="BZ42" s="198"/>
      <c r="CB42" s="198"/>
      <c r="CC42" s="198"/>
      <c r="CD42" s="198"/>
      <c r="CE42" s="198"/>
      <c r="CG42" s="198"/>
      <c r="CH42" s="198"/>
      <c r="CI42" s="198"/>
      <c r="CJ42" s="198"/>
    </row>
    <row r="43" spans="38:88" x14ac:dyDescent="0.2">
      <c r="AL43" s="197"/>
      <c r="AM43" s="198"/>
      <c r="AN43" s="198"/>
      <c r="AO43" s="198"/>
      <c r="AP43" s="198"/>
      <c r="AQ43" s="198"/>
      <c r="AS43" s="198"/>
      <c r="AT43" s="198"/>
      <c r="AU43" s="198"/>
      <c r="AV43" s="198"/>
      <c r="AX43" s="198"/>
      <c r="AY43" s="198"/>
      <c r="AZ43" s="198"/>
      <c r="BA43" s="198"/>
      <c r="BC43" s="198"/>
      <c r="BD43" s="198"/>
      <c r="BE43" s="198"/>
      <c r="BF43" s="198"/>
      <c r="BH43" s="198"/>
      <c r="BI43" s="198"/>
      <c r="BJ43" s="198"/>
      <c r="BK43" s="198"/>
      <c r="BM43" s="198"/>
      <c r="BN43" s="198"/>
      <c r="BO43" s="198"/>
      <c r="BP43" s="198"/>
      <c r="BR43" s="198"/>
      <c r="BS43" s="198"/>
      <c r="BT43" s="198"/>
      <c r="BU43" s="198"/>
      <c r="BW43" s="198"/>
      <c r="BX43" s="198"/>
      <c r="BY43" s="198"/>
      <c r="BZ43" s="198"/>
      <c r="CB43" s="198"/>
      <c r="CC43" s="198"/>
      <c r="CD43" s="198"/>
      <c r="CE43" s="198"/>
      <c r="CG43" s="198"/>
      <c r="CH43" s="198"/>
      <c r="CI43" s="198"/>
      <c r="CJ43" s="198"/>
    </row>
    <row r="44" spans="38:88" x14ac:dyDescent="0.2">
      <c r="AL44" s="197"/>
      <c r="AM44" s="198"/>
      <c r="AN44" s="198"/>
      <c r="AO44" s="198"/>
      <c r="AP44" s="198"/>
      <c r="AQ44" s="198"/>
      <c r="AS44" s="198"/>
      <c r="AT44" s="198"/>
      <c r="AU44" s="198"/>
      <c r="AV44" s="198"/>
      <c r="AX44" s="198"/>
      <c r="AY44" s="198"/>
      <c r="AZ44" s="198"/>
      <c r="BA44" s="198"/>
      <c r="BC44" s="198"/>
      <c r="BD44" s="198"/>
      <c r="BE44" s="198"/>
      <c r="BF44" s="198"/>
      <c r="BH44" s="198"/>
      <c r="BI44" s="198"/>
      <c r="BJ44" s="198"/>
      <c r="BK44" s="198"/>
      <c r="BM44" s="198"/>
      <c r="BN44" s="198"/>
      <c r="BO44" s="198"/>
      <c r="BP44" s="198"/>
      <c r="BR44" s="198"/>
      <c r="BS44" s="198"/>
      <c r="BT44" s="198"/>
      <c r="BU44" s="198"/>
      <c r="BW44" s="198"/>
      <c r="BX44" s="198"/>
      <c r="BY44" s="198"/>
      <c r="BZ44" s="198"/>
      <c r="CB44" s="198"/>
      <c r="CC44" s="198"/>
      <c r="CD44" s="198"/>
      <c r="CE44" s="198"/>
      <c r="CG44" s="198"/>
      <c r="CH44" s="198"/>
      <c r="CI44" s="198"/>
      <c r="CJ44" s="198"/>
    </row>
    <row r="45" spans="38:88" x14ac:dyDescent="0.2">
      <c r="AL45" s="197"/>
      <c r="AM45" s="198"/>
      <c r="AN45" s="198"/>
      <c r="AO45" s="198"/>
      <c r="AP45" s="198"/>
      <c r="AQ45" s="198"/>
      <c r="AS45" s="198"/>
      <c r="AT45" s="198"/>
      <c r="AU45" s="198"/>
      <c r="AV45" s="198"/>
      <c r="AX45" s="198"/>
      <c r="AY45" s="198"/>
      <c r="AZ45" s="198"/>
      <c r="BA45" s="198"/>
      <c r="BC45" s="198"/>
      <c r="BD45" s="198"/>
      <c r="BE45" s="198"/>
      <c r="BF45" s="198"/>
      <c r="BH45" s="198"/>
      <c r="BI45" s="198"/>
      <c r="BJ45" s="198"/>
      <c r="BK45" s="198"/>
      <c r="BM45" s="198"/>
      <c r="BN45" s="198"/>
      <c r="BO45" s="198"/>
      <c r="BP45" s="198"/>
      <c r="BR45" s="198"/>
      <c r="BS45" s="198"/>
      <c r="BT45" s="198"/>
      <c r="BU45" s="198"/>
      <c r="BW45" s="198"/>
      <c r="BX45" s="198"/>
      <c r="BY45" s="198"/>
      <c r="BZ45" s="198"/>
      <c r="CB45" s="198"/>
      <c r="CC45" s="198"/>
      <c r="CD45" s="198"/>
      <c r="CE45" s="198"/>
      <c r="CG45" s="198"/>
      <c r="CH45" s="198"/>
      <c r="CI45" s="198"/>
      <c r="CJ45" s="198"/>
    </row>
    <row r="46" spans="38:88" x14ac:dyDescent="0.2">
      <c r="AL46" s="197"/>
      <c r="AM46" s="198"/>
      <c r="AN46" s="198"/>
      <c r="AO46" s="198"/>
      <c r="AP46" s="198"/>
      <c r="AQ46" s="198"/>
      <c r="AS46" s="198"/>
      <c r="AT46" s="198"/>
      <c r="AU46" s="198"/>
      <c r="AV46" s="198"/>
      <c r="AX46" s="198"/>
      <c r="AY46" s="198"/>
      <c r="AZ46" s="198"/>
      <c r="BA46" s="198"/>
      <c r="BC46" s="198"/>
      <c r="BD46" s="198"/>
      <c r="BE46" s="198"/>
      <c r="BF46" s="198"/>
      <c r="BH46" s="198"/>
      <c r="BI46" s="198"/>
      <c r="BJ46" s="198"/>
      <c r="BK46" s="198"/>
      <c r="BM46" s="198"/>
      <c r="BN46" s="198"/>
      <c r="BO46" s="198"/>
      <c r="BP46" s="198"/>
      <c r="BR46" s="198"/>
      <c r="BS46" s="198"/>
      <c r="BT46" s="198"/>
      <c r="BU46" s="198"/>
      <c r="BW46" s="198"/>
      <c r="BX46" s="198"/>
      <c r="BY46" s="198"/>
      <c r="BZ46" s="198"/>
      <c r="CB46" s="198"/>
      <c r="CC46" s="198"/>
      <c r="CD46" s="198"/>
      <c r="CE46" s="198"/>
      <c r="CG46" s="198"/>
      <c r="CH46" s="198"/>
      <c r="CI46" s="198"/>
      <c r="CJ46" s="198"/>
    </row>
    <row r="47" spans="38:88" x14ac:dyDescent="0.2">
      <c r="AL47" s="197"/>
      <c r="AM47" s="198"/>
      <c r="AN47" s="198"/>
      <c r="AO47" s="198"/>
      <c r="AP47" s="198"/>
      <c r="AQ47" s="198"/>
      <c r="AS47" s="198"/>
      <c r="AT47" s="198"/>
      <c r="AU47" s="198"/>
      <c r="AV47" s="198"/>
      <c r="AX47" s="198"/>
      <c r="AY47" s="198"/>
      <c r="AZ47" s="198"/>
      <c r="BA47" s="198"/>
      <c r="BC47" s="198"/>
      <c r="BD47" s="198"/>
      <c r="BE47" s="198"/>
      <c r="BF47" s="198"/>
      <c r="BH47" s="198"/>
      <c r="BI47" s="198"/>
      <c r="BJ47" s="198"/>
      <c r="BK47" s="198"/>
      <c r="BM47" s="198"/>
      <c r="BN47" s="198"/>
      <c r="BO47" s="198"/>
      <c r="BP47" s="198"/>
      <c r="BR47" s="198"/>
      <c r="BS47" s="198"/>
      <c r="BT47" s="198"/>
      <c r="BU47" s="198"/>
      <c r="BW47" s="198"/>
      <c r="BX47" s="198"/>
      <c r="BY47" s="198"/>
      <c r="BZ47" s="198"/>
      <c r="CB47" s="198"/>
      <c r="CC47" s="198"/>
      <c r="CD47" s="198"/>
      <c r="CE47" s="198"/>
      <c r="CG47" s="198"/>
      <c r="CH47" s="198"/>
      <c r="CI47" s="198"/>
      <c r="CJ47" s="198"/>
    </row>
    <row r="48" spans="38:88" x14ac:dyDescent="0.2">
      <c r="AL48" s="197"/>
      <c r="AM48" s="198"/>
      <c r="AN48" s="198"/>
      <c r="AO48" s="198"/>
      <c r="AP48" s="198"/>
      <c r="AQ48" s="198"/>
      <c r="AS48" s="198"/>
      <c r="AT48" s="198"/>
      <c r="AU48" s="198"/>
      <c r="AV48" s="198"/>
      <c r="AX48" s="198"/>
      <c r="AY48" s="198"/>
      <c r="AZ48" s="198"/>
      <c r="BA48" s="198"/>
      <c r="BC48" s="198"/>
      <c r="BD48" s="198"/>
      <c r="BE48" s="198"/>
      <c r="BF48" s="198"/>
      <c r="BH48" s="198"/>
      <c r="BI48" s="198"/>
      <c r="BJ48" s="198"/>
      <c r="BK48" s="198"/>
      <c r="BM48" s="198"/>
      <c r="BN48" s="198"/>
      <c r="BO48" s="198"/>
      <c r="BP48" s="198"/>
      <c r="BR48" s="198"/>
      <c r="BS48" s="198"/>
      <c r="BT48" s="198"/>
      <c r="BU48" s="198"/>
      <c r="BW48" s="198"/>
      <c r="BX48" s="198"/>
      <c r="BY48" s="198"/>
      <c r="BZ48" s="198"/>
      <c r="CB48" s="198"/>
      <c r="CC48" s="198"/>
      <c r="CD48" s="198"/>
      <c r="CE48" s="198"/>
      <c r="CG48" s="198"/>
      <c r="CH48" s="198"/>
      <c r="CI48" s="198"/>
      <c r="CJ48" s="198"/>
    </row>
    <row r="49" spans="38:88" x14ac:dyDescent="0.2">
      <c r="AL49" s="197"/>
      <c r="AM49" s="198"/>
      <c r="AN49" s="198"/>
      <c r="AO49" s="198"/>
      <c r="AP49" s="198"/>
      <c r="AQ49" s="198"/>
      <c r="AS49" s="198"/>
      <c r="AT49" s="198"/>
      <c r="AU49" s="198"/>
      <c r="AV49" s="198"/>
      <c r="AX49" s="198"/>
      <c r="AY49" s="198"/>
      <c r="AZ49" s="198"/>
      <c r="BA49" s="198"/>
      <c r="BC49" s="198"/>
      <c r="BD49" s="198"/>
      <c r="BE49" s="198"/>
      <c r="BF49" s="198"/>
      <c r="BH49" s="198"/>
      <c r="BI49" s="198"/>
      <c r="BJ49" s="198"/>
      <c r="BK49" s="198"/>
      <c r="BM49" s="198"/>
      <c r="BN49" s="198"/>
      <c r="BO49" s="198"/>
      <c r="BP49" s="198"/>
      <c r="BR49" s="198"/>
      <c r="BS49" s="198"/>
      <c r="BT49" s="198"/>
      <c r="BU49" s="198"/>
      <c r="BW49" s="198"/>
      <c r="BX49" s="198"/>
      <c r="BY49" s="198"/>
      <c r="BZ49" s="198"/>
      <c r="CB49" s="198"/>
      <c r="CC49" s="198"/>
      <c r="CD49" s="198"/>
      <c r="CE49" s="198"/>
      <c r="CG49" s="198"/>
      <c r="CH49" s="198"/>
      <c r="CI49" s="198"/>
      <c r="CJ49" s="198"/>
    </row>
    <row r="50" spans="38:88" x14ac:dyDescent="0.2">
      <c r="AL50" s="197"/>
      <c r="AM50" s="198"/>
      <c r="AN50" s="198"/>
      <c r="AO50" s="198"/>
      <c r="AP50" s="198"/>
      <c r="AQ50" s="198"/>
      <c r="AS50" s="198"/>
      <c r="AT50" s="198"/>
      <c r="AU50" s="198"/>
      <c r="AV50" s="198"/>
      <c r="AX50" s="198"/>
      <c r="AY50" s="198"/>
      <c r="AZ50" s="198"/>
      <c r="BA50" s="198"/>
      <c r="BC50" s="198"/>
      <c r="BD50" s="198"/>
      <c r="BE50" s="198"/>
      <c r="BF50" s="198"/>
      <c r="BH50" s="198"/>
      <c r="BI50" s="198"/>
      <c r="BJ50" s="198"/>
      <c r="BK50" s="198"/>
      <c r="BM50" s="198"/>
      <c r="BN50" s="198"/>
      <c r="BO50" s="198"/>
      <c r="BP50" s="198"/>
      <c r="BR50" s="198"/>
      <c r="BS50" s="198"/>
      <c r="BT50" s="198"/>
      <c r="BU50" s="198"/>
      <c r="BW50" s="198"/>
      <c r="BX50" s="198"/>
      <c r="BY50" s="198"/>
      <c r="BZ50" s="198"/>
      <c r="CB50" s="198"/>
      <c r="CC50" s="198"/>
      <c r="CD50" s="198"/>
      <c r="CE50" s="198"/>
      <c r="CG50" s="198"/>
      <c r="CH50" s="198"/>
      <c r="CI50" s="198"/>
      <c r="CJ50" s="198"/>
    </row>
    <row r="51" spans="38:88" x14ac:dyDescent="0.2">
      <c r="AL51" s="197"/>
      <c r="AM51" s="198"/>
      <c r="AN51" s="198"/>
      <c r="AO51" s="198"/>
      <c r="AP51" s="198"/>
      <c r="AQ51" s="198"/>
      <c r="AS51" s="198"/>
      <c r="AT51" s="198"/>
      <c r="AU51" s="198"/>
      <c r="AV51" s="198"/>
      <c r="AX51" s="198"/>
      <c r="AY51" s="198"/>
      <c r="AZ51" s="198"/>
      <c r="BA51" s="198"/>
      <c r="BC51" s="198"/>
      <c r="BD51" s="198"/>
      <c r="BE51" s="198"/>
      <c r="BF51" s="198"/>
      <c r="BH51" s="198"/>
      <c r="BI51" s="198"/>
      <c r="BJ51" s="198"/>
      <c r="BK51" s="198"/>
      <c r="BM51" s="198"/>
      <c r="BN51" s="198"/>
      <c r="BO51" s="198"/>
      <c r="BP51" s="198"/>
      <c r="BR51" s="198"/>
      <c r="BS51" s="198"/>
      <c r="BT51" s="198"/>
      <c r="BU51" s="198"/>
      <c r="BW51" s="198"/>
      <c r="BX51" s="198"/>
      <c r="BY51" s="198"/>
      <c r="BZ51" s="198"/>
      <c r="CB51" s="198"/>
      <c r="CC51" s="198"/>
      <c r="CD51" s="198"/>
      <c r="CE51" s="198"/>
      <c r="CG51" s="198"/>
      <c r="CH51" s="198"/>
      <c r="CI51" s="198"/>
      <c r="CJ51" s="198"/>
    </row>
    <row r="52" spans="38:88" x14ac:dyDescent="0.2">
      <c r="AL52" s="197"/>
      <c r="AM52" s="198"/>
      <c r="AN52" s="198"/>
      <c r="AO52" s="198"/>
      <c r="AP52" s="198"/>
      <c r="AQ52" s="198"/>
      <c r="AS52" s="198"/>
      <c r="AT52" s="198"/>
      <c r="AU52" s="198"/>
      <c r="AV52" s="198"/>
      <c r="AX52" s="198"/>
      <c r="AY52" s="198"/>
      <c r="AZ52" s="198"/>
      <c r="BA52" s="198"/>
      <c r="BC52" s="198"/>
      <c r="BD52" s="198"/>
      <c r="BE52" s="198"/>
      <c r="BF52" s="198"/>
      <c r="BH52" s="198"/>
      <c r="BI52" s="198"/>
      <c r="BJ52" s="198"/>
      <c r="BK52" s="198"/>
      <c r="BM52" s="198"/>
      <c r="BN52" s="198"/>
      <c r="BO52" s="198"/>
      <c r="BP52" s="198"/>
      <c r="BR52" s="198"/>
      <c r="BS52" s="198"/>
      <c r="BT52" s="198"/>
      <c r="BU52" s="198"/>
      <c r="BW52" s="198"/>
      <c r="BX52" s="198"/>
      <c r="BY52" s="198"/>
      <c r="BZ52" s="198"/>
      <c r="CB52" s="198"/>
      <c r="CC52" s="198"/>
      <c r="CD52" s="198"/>
      <c r="CE52" s="198"/>
      <c r="CG52" s="198"/>
      <c r="CH52" s="198"/>
      <c r="CI52" s="198"/>
      <c r="CJ52" s="198"/>
    </row>
    <row r="53" spans="38:88" x14ac:dyDescent="0.2">
      <c r="AL53" s="197"/>
      <c r="AM53" s="198"/>
      <c r="AN53" s="198"/>
      <c r="AO53" s="198"/>
      <c r="AP53" s="198"/>
      <c r="AQ53" s="198"/>
      <c r="AS53" s="198"/>
      <c r="AT53" s="198"/>
      <c r="AU53" s="198"/>
      <c r="AV53" s="198"/>
      <c r="AX53" s="198"/>
      <c r="AY53" s="198"/>
      <c r="AZ53" s="198"/>
      <c r="BA53" s="198"/>
      <c r="BC53" s="198"/>
      <c r="BD53" s="198"/>
      <c r="BE53" s="198"/>
      <c r="BF53" s="198"/>
      <c r="BH53" s="198"/>
      <c r="BI53" s="198"/>
      <c r="BJ53" s="198"/>
      <c r="BK53" s="198"/>
      <c r="BM53" s="198"/>
      <c r="BN53" s="198"/>
      <c r="BO53" s="198"/>
      <c r="BP53" s="198"/>
      <c r="BR53" s="198"/>
      <c r="BS53" s="198"/>
      <c r="BT53" s="198"/>
      <c r="BU53" s="198"/>
      <c r="BW53" s="198"/>
      <c r="BX53" s="198"/>
      <c r="BY53" s="198"/>
      <c r="BZ53" s="198"/>
      <c r="CB53" s="198"/>
      <c r="CC53" s="198"/>
      <c r="CD53" s="198"/>
      <c r="CE53" s="198"/>
      <c r="CG53" s="198"/>
      <c r="CH53" s="198"/>
      <c r="CI53" s="198"/>
      <c r="CJ53" s="198"/>
    </row>
    <row r="54" spans="38:88" x14ac:dyDescent="0.2">
      <c r="AL54" s="197"/>
      <c r="AM54" s="198"/>
      <c r="AN54" s="198"/>
      <c r="AO54" s="198"/>
      <c r="AP54" s="198"/>
      <c r="AQ54" s="198"/>
      <c r="AS54" s="198"/>
      <c r="AT54" s="198"/>
      <c r="AU54" s="198"/>
      <c r="AV54" s="198"/>
      <c r="AX54" s="198"/>
      <c r="AY54" s="198"/>
      <c r="AZ54" s="198"/>
      <c r="BA54" s="198"/>
      <c r="BC54" s="198"/>
      <c r="BD54" s="198"/>
      <c r="BE54" s="198"/>
      <c r="BF54" s="198"/>
      <c r="BH54" s="198"/>
      <c r="BI54" s="198"/>
      <c r="BJ54" s="198"/>
      <c r="BK54" s="198"/>
      <c r="BM54" s="198"/>
      <c r="BN54" s="198"/>
      <c r="BO54" s="198"/>
      <c r="BP54" s="198"/>
      <c r="BR54" s="198"/>
      <c r="BS54" s="198"/>
      <c r="BT54" s="198"/>
      <c r="BU54" s="198"/>
      <c r="BW54" s="198"/>
      <c r="BX54" s="198"/>
      <c r="BY54" s="198"/>
      <c r="BZ54" s="198"/>
      <c r="CB54" s="198"/>
      <c r="CC54" s="198"/>
      <c r="CD54" s="198"/>
      <c r="CE54" s="198"/>
      <c r="CG54" s="198"/>
      <c r="CH54" s="198"/>
      <c r="CI54" s="198"/>
      <c r="CJ54" s="198"/>
    </row>
    <row r="55" spans="38:88" x14ac:dyDescent="0.2">
      <c r="AL55" s="197"/>
      <c r="AM55" s="198"/>
      <c r="AN55" s="198"/>
      <c r="AO55" s="198"/>
      <c r="AP55" s="198"/>
      <c r="AQ55" s="198"/>
      <c r="AS55" s="198"/>
      <c r="AT55" s="198"/>
      <c r="AU55" s="198"/>
      <c r="AV55" s="198"/>
      <c r="AX55" s="198"/>
      <c r="AY55" s="198"/>
      <c r="AZ55" s="198"/>
      <c r="BA55" s="198"/>
      <c r="BC55" s="198"/>
      <c r="BD55" s="198"/>
      <c r="BE55" s="198"/>
      <c r="BF55" s="198"/>
      <c r="BH55" s="198"/>
      <c r="BI55" s="198"/>
      <c r="BJ55" s="198"/>
      <c r="BK55" s="198"/>
      <c r="BM55" s="198"/>
      <c r="BN55" s="198"/>
      <c r="BO55" s="198"/>
      <c r="BP55" s="198"/>
      <c r="BR55" s="198"/>
      <c r="BS55" s="198"/>
      <c r="BT55" s="198"/>
      <c r="BU55" s="198"/>
      <c r="BW55" s="198"/>
      <c r="BX55" s="198"/>
      <c r="BY55" s="198"/>
      <c r="BZ55" s="198"/>
      <c r="CB55" s="198"/>
      <c r="CC55" s="198"/>
      <c r="CD55" s="198"/>
      <c r="CE55" s="198"/>
      <c r="CG55" s="198"/>
      <c r="CH55" s="198"/>
      <c r="CI55" s="198"/>
      <c r="CJ55" s="198"/>
    </row>
    <row r="56" spans="38:88" x14ac:dyDescent="0.2">
      <c r="AL56" s="197"/>
      <c r="AM56" s="198"/>
      <c r="AN56" s="198"/>
      <c r="AO56" s="198"/>
      <c r="AP56" s="198"/>
      <c r="AQ56" s="198"/>
      <c r="AS56" s="198"/>
      <c r="AT56" s="198"/>
      <c r="AU56" s="198"/>
      <c r="AV56" s="198"/>
      <c r="AX56" s="198"/>
      <c r="AY56" s="198"/>
      <c r="AZ56" s="198"/>
      <c r="BA56" s="198"/>
      <c r="BC56" s="198"/>
      <c r="BD56" s="198"/>
      <c r="BE56" s="198"/>
      <c r="BF56" s="198"/>
      <c r="BH56" s="198"/>
      <c r="BI56" s="198"/>
      <c r="BJ56" s="198"/>
      <c r="BK56" s="198"/>
      <c r="BM56" s="198"/>
      <c r="BN56" s="198"/>
      <c r="BO56" s="198"/>
      <c r="BP56" s="198"/>
      <c r="BR56" s="198"/>
      <c r="BS56" s="198"/>
      <c r="BT56" s="198"/>
      <c r="BU56" s="198"/>
      <c r="BW56" s="198"/>
      <c r="BX56" s="198"/>
      <c r="BY56" s="198"/>
      <c r="BZ56" s="198"/>
      <c r="CB56" s="198"/>
      <c r="CC56" s="198"/>
      <c r="CD56" s="198"/>
      <c r="CE56" s="198"/>
      <c r="CG56" s="198"/>
      <c r="CH56" s="198"/>
      <c r="CI56" s="198"/>
      <c r="CJ56" s="198"/>
    </row>
    <row r="57" spans="38:88" x14ac:dyDescent="0.2">
      <c r="AL57" s="197"/>
      <c r="AM57" s="198"/>
      <c r="AN57" s="198"/>
      <c r="AO57" s="198"/>
      <c r="AP57" s="198"/>
      <c r="AQ57" s="198"/>
      <c r="AS57" s="198"/>
      <c r="AT57" s="198"/>
      <c r="AU57" s="198"/>
      <c r="AV57" s="198"/>
      <c r="AX57" s="198"/>
      <c r="AY57" s="198"/>
      <c r="AZ57" s="198"/>
      <c r="BA57" s="198"/>
      <c r="BC57" s="198"/>
      <c r="BD57" s="198"/>
      <c r="BE57" s="198"/>
      <c r="BF57" s="198"/>
      <c r="BH57" s="198"/>
      <c r="BI57" s="198"/>
      <c r="BJ57" s="198"/>
      <c r="BK57" s="198"/>
      <c r="BM57" s="198"/>
      <c r="BN57" s="198"/>
      <c r="BO57" s="198"/>
      <c r="BP57" s="198"/>
      <c r="BR57" s="198"/>
      <c r="BS57" s="198"/>
      <c r="BT57" s="198"/>
      <c r="BU57" s="198"/>
      <c r="BW57" s="198"/>
      <c r="BX57" s="198"/>
      <c r="BY57" s="198"/>
      <c r="BZ57" s="198"/>
      <c r="CB57" s="198"/>
      <c r="CC57" s="198"/>
      <c r="CD57" s="198"/>
      <c r="CE57" s="198"/>
      <c r="CG57" s="198"/>
      <c r="CH57" s="198"/>
      <c r="CI57" s="198"/>
      <c r="CJ57" s="198"/>
    </row>
    <row r="58" spans="38:88" x14ac:dyDescent="0.2">
      <c r="AL58" s="197"/>
      <c r="AM58" s="198"/>
      <c r="AN58" s="198"/>
      <c r="AO58" s="198"/>
      <c r="AP58" s="198"/>
      <c r="AQ58" s="198"/>
      <c r="AS58" s="198"/>
      <c r="AT58" s="198"/>
      <c r="AU58" s="198"/>
      <c r="AV58" s="198"/>
      <c r="AX58" s="198"/>
      <c r="AY58" s="198"/>
      <c r="AZ58" s="198"/>
      <c r="BA58" s="198"/>
      <c r="BC58" s="198"/>
      <c r="BD58" s="198"/>
      <c r="BE58" s="198"/>
      <c r="BF58" s="198"/>
      <c r="BH58" s="198"/>
      <c r="BI58" s="198"/>
      <c r="BJ58" s="198"/>
      <c r="BK58" s="198"/>
      <c r="BM58" s="198"/>
      <c r="BN58" s="198"/>
      <c r="BO58" s="198"/>
      <c r="BP58" s="198"/>
      <c r="BR58" s="198"/>
      <c r="BS58" s="198"/>
      <c r="BT58" s="198"/>
      <c r="BU58" s="198"/>
      <c r="BW58" s="198"/>
      <c r="BX58" s="198"/>
      <c r="BY58" s="198"/>
      <c r="BZ58" s="198"/>
      <c r="CB58" s="198"/>
      <c r="CC58" s="198"/>
      <c r="CD58" s="198"/>
      <c r="CE58" s="198"/>
      <c r="CG58" s="198"/>
      <c r="CH58" s="198"/>
      <c r="CI58" s="198"/>
      <c r="CJ58" s="198"/>
    </row>
    <row r="59" spans="38:88" x14ac:dyDescent="0.2">
      <c r="AL59" s="197"/>
      <c r="AM59" s="198"/>
      <c r="AN59" s="198"/>
      <c r="AO59" s="198"/>
      <c r="AP59" s="198"/>
      <c r="AQ59" s="198"/>
      <c r="AS59" s="198"/>
      <c r="AT59" s="198"/>
      <c r="AU59" s="198"/>
      <c r="AV59" s="198"/>
      <c r="AX59" s="198"/>
      <c r="AY59" s="198"/>
      <c r="AZ59" s="198"/>
      <c r="BA59" s="198"/>
      <c r="BC59" s="198"/>
      <c r="BD59" s="198"/>
      <c r="BE59" s="198"/>
      <c r="BF59" s="198"/>
      <c r="BH59" s="198"/>
      <c r="BI59" s="198"/>
      <c r="BJ59" s="198"/>
      <c r="BK59" s="198"/>
      <c r="BM59" s="198"/>
      <c r="BN59" s="198"/>
      <c r="BO59" s="198"/>
      <c r="BP59" s="198"/>
      <c r="BR59" s="198"/>
      <c r="BS59" s="198"/>
      <c r="BT59" s="198"/>
      <c r="BU59" s="198"/>
      <c r="BW59" s="198"/>
      <c r="BX59" s="198"/>
      <c r="BY59" s="198"/>
      <c r="BZ59" s="198"/>
      <c r="CB59" s="198"/>
      <c r="CC59" s="198"/>
      <c r="CD59" s="198"/>
      <c r="CE59" s="198"/>
      <c r="CG59" s="198"/>
      <c r="CH59" s="198"/>
      <c r="CI59" s="198"/>
      <c r="CJ59" s="198"/>
    </row>
    <row r="60" spans="38:88" x14ac:dyDescent="0.2">
      <c r="AL60" s="197"/>
      <c r="AM60" s="198"/>
      <c r="AN60" s="198"/>
      <c r="AO60" s="198"/>
      <c r="AP60" s="198"/>
      <c r="AQ60" s="198"/>
      <c r="AS60" s="198"/>
      <c r="AT60" s="198"/>
      <c r="AU60" s="198"/>
      <c r="AV60" s="198"/>
      <c r="AX60" s="198"/>
      <c r="AY60" s="198"/>
      <c r="AZ60" s="198"/>
      <c r="BA60" s="198"/>
      <c r="BC60" s="198"/>
      <c r="BD60" s="198"/>
      <c r="BE60" s="198"/>
      <c r="BF60" s="198"/>
      <c r="BH60" s="198"/>
      <c r="BI60" s="198"/>
      <c r="BJ60" s="198"/>
      <c r="BK60" s="198"/>
      <c r="BM60" s="198"/>
      <c r="BN60" s="198"/>
      <c r="BO60" s="198"/>
      <c r="BP60" s="198"/>
      <c r="BR60" s="198"/>
      <c r="BS60" s="198"/>
      <c r="BT60" s="198"/>
      <c r="BU60" s="198"/>
      <c r="BW60" s="198"/>
      <c r="BX60" s="198"/>
      <c r="BY60" s="198"/>
      <c r="BZ60" s="198"/>
      <c r="CB60" s="198"/>
      <c r="CC60" s="198"/>
      <c r="CD60" s="198"/>
      <c r="CE60" s="198"/>
      <c r="CG60" s="198"/>
      <c r="CH60" s="198"/>
      <c r="CI60" s="198"/>
      <c r="CJ60" s="198"/>
    </row>
    <row r="61" spans="38:88" x14ac:dyDescent="0.2">
      <c r="AL61" s="197"/>
      <c r="AM61" s="198"/>
      <c r="AN61" s="198"/>
      <c r="AO61" s="198"/>
      <c r="AP61" s="198"/>
      <c r="AQ61" s="198"/>
      <c r="AS61" s="198"/>
      <c r="AT61" s="198"/>
      <c r="AU61" s="198"/>
      <c r="AV61" s="198"/>
      <c r="AX61" s="198"/>
      <c r="AY61" s="198"/>
      <c r="AZ61" s="198"/>
      <c r="BA61" s="198"/>
    </row>
    <row r="62" spans="38:88" x14ac:dyDescent="0.2">
      <c r="AL62" s="197"/>
      <c r="AM62" s="198"/>
      <c r="AN62" s="198"/>
      <c r="AO62" s="198"/>
      <c r="AP62" s="198"/>
      <c r="AQ62" s="198"/>
      <c r="AS62" s="198"/>
      <c r="AT62" s="198"/>
      <c r="AU62" s="198"/>
      <c r="AV62" s="198"/>
      <c r="AX62" s="198"/>
      <c r="AY62" s="198"/>
      <c r="AZ62" s="198"/>
      <c r="BA62" s="198"/>
    </row>
    <row r="63" spans="38:88" x14ac:dyDescent="0.2">
      <c r="AL63" s="197"/>
      <c r="AM63" s="198"/>
      <c r="AN63" s="198"/>
      <c r="AO63" s="198"/>
      <c r="AP63" s="198"/>
      <c r="AQ63" s="198"/>
      <c r="AS63" s="198"/>
      <c r="AT63" s="198"/>
      <c r="AU63" s="198"/>
      <c r="AV63" s="198"/>
      <c r="AX63" s="198"/>
      <c r="AY63" s="198"/>
      <c r="AZ63" s="198"/>
      <c r="BA63" s="198"/>
    </row>
    <row r="64" spans="38:88" x14ac:dyDescent="0.2">
      <c r="AL64" s="197"/>
      <c r="AM64" s="198"/>
      <c r="AN64" s="198"/>
      <c r="AO64" s="198"/>
      <c r="AP64" s="198"/>
      <c r="AQ64" s="198"/>
      <c r="AS64" s="198"/>
      <c r="AT64" s="198"/>
      <c r="AU64" s="198"/>
      <c r="AV64" s="198"/>
      <c r="AX64" s="198"/>
      <c r="AY64" s="198"/>
      <c r="AZ64" s="198"/>
      <c r="BA64" s="198"/>
    </row>
    <row r="65" spans="38:53" x14ac:dyDescent="0.2">
      <c r="AL65" s="197"/>
      <c r="AM65" s="198"/>
      <c r="AN65" s="198"/>
      <c r="AO65" s="198"/>
      <c r="AP65" s="198"/>
      <c r="AQ65" s="198"/>
      <c r="AS65" s="198"/>
      <c r="AT65" s="198"/>
      <c r="AU65" s="198"/>
      <c r="AV65" s="198"/>
      <c r="AX65" s="198"/>
      <c r="AY65" s="198"/>
      <c r="AZ65" s="198"/>
      <c r="BA65" s="198"/>
    </row>
    <row r="66" spans="38:53" x14ac:dyDescent="0.2">
      <c r="AL66" s="197"/>
      <c r="AM66" s="198"/>
      <c r="AN66" s="198"/>
      <c r="AO66" s="198"/>
      <c r="AP66" s="198"/>
      <c r="AQ66" s="198"/>
      <c r="AS66" s="198"/>
      <c r="AT66" s="198"/>
      <c r="AU66" s="198"/>
      <c r="AV66" s="198"/>
      <c r="AX66" s="198"/>
      <c r="AY66" s="198"/>
      <c r="AZ66" s="198"/>
      <c r="BA66" s="198"/>
    </row>
    <row r="67" spans="38:53" x14ac:dyDescent="0.2">
      <c r="AL67" s="197"/>
      <c r="AM67" s="198"/>
      <c r="AN67" s="198"/>
      <c r="AO67" s="198"/>
      <c r="AP67" s="198"/>
      <c r="AQ67" s="198"/>
      <c r="AS67" s="198"/>
      <c r="AT67" s="198"/>
      <c r="AU67" s="198"/>
      <c r="AV67" s="198"/>
      <c r="AX67" s="198"/>
      <c r="AY67" s="198"/>
      <c r="AZ67" s="198"/>
      <c r="BA67" s="198"/>
    </row>
    <row r="68" spans="38:53" x14ac:dyDescent="0.2">
      <c r="AL68" s="197"/>
      <c r="AM68" s="198"/>
      <c r="AN68" s="198"/>
      <c r="AO68" s="198"/>
      <c r="AP68" s="198"/>
      <c r="AQ68" s="198"/>
      <c r="AS68" s="198"/>
      <c r="AT68" s="198"/>
      <c r="AU68" s="198"/>
      <c r="AV68" s="198"/>
      <c r="AX68" s="198"/>
      <c r="AY68" s="198"/>
      <c r="AZ68" s="198"/>
      <c r="BA68" s="198"/>
    </row>
    <row r="69" spans="38:53" x14ac:dyDescent="0.2">
      <c r="AL69" s="197"/>
      <c r="AM69" s="198"/>
      <c r="AN69" s="198"/>
      <c r="AO69" s="198"/>
      <c r="AP69" s="198"/>
      <c r="AQ69" s="198"/>
      <c r="AS69" s="198"/>
      <c r="AT69" s="198"/>
      <c r="AU69" s="198"/>
      <c r="AV69" s="198"/>
      <c r="AX69" s="198"/>
      <c r="AY69" s="198"/>
      <c r="AZ69" s="198"/>
      <c r="BA69" s="198"/>
    </row>
    <row r="70" spans="38:53" x14ac:dyDescent="0.2">
      <c r="AL70" s="197"/>
      <c r="AM70" s="198"/>
      <c r="AN70" s="198"/>
      <c r="AO70" s="198"/>
      <c r="AP70" s="198"/>
      <c r="AQ70" s="198"/>
      <c r="AS70" s="198"/>
      <c r="AT70" s="198"/>
      <c r="AU70" s="198"/>
      <c r="AV70" s="198"/>
      <c r="AX70" s="198"/>
      <c r="AY70" s="198"/>
      <c r="AZ70" s="198"/>
      <c r="BA70" s="198"/>
    </row>
    <row r="71" spans="38:53" x14ac:dyDescent="0.2">
      <c r="AL71" s="197"/>
      <c r="AM71" s="198"/>
      <c r="AN71" s="198"/>
      <c r="AO71" s="198"/>
      <c r="AP71" s="198"/>
      <c r="AQ71" s="198"/>
      <c r="AS71" s="198"/>
      <c r="AT71" s="198"/>
      <c r="AU71" s="198"/>
      <c r="AV71" s="198"/>
      <c r="AX71" s="198"/>
      <c r="AY71" s="198"/>
      <c r="AZ71" s="198"/>
      <c r="BA71" s="198"/>
    </row>
    <row r="72" spans="38:53" x14ac:dyDescent="0.2">
      <c r="AL72" s="197"/>
      <c r="AM72" s="198"/>
      <c r="AN72" s="198"/>
      <c r="AO72" s="198"/>
      <c r="AP72" s="198"/>
      <c r="AQ72" s="198"/>
      <c r="AS72" s="198"/>
      <c r="AT72" s="198"/>
      <c r="AU72" s="198"/>
      <c r="AV72" s="198"/>
      <c r="AX72" s="198"/>
      <c r="AY72" s="198"/>
      <c r="AZ72" s="198"/>
      <c r="BA72" s="198"/>
    </row>
    <row r="73" spans="38:53" x14ac:dyDescent="0.2">
      <c r="AL73" s="197"/>
      <c r="AM73" s="198"/>
      <c r="AN73" s="198"/>
      <c r="AO73" s="198"/>
      <c r="AP73" s="198"/>
      <c r="AQ73" s="198"/>
      <c r="AS73" s="198"/>
      <c r="AT73" s="198"/>
      <c r="AU73" s="198"/>
      <c r="AV73" s="198"/>
      <c r="AX73" s="198"/>
      <c r="AY73" s="198"/>
      <c r="AZ73" s="198"/>
      <c r="BA73" s="198"/>
    </row>
    <row r="74" spans="38:53" x14ac:dyDescent="0.2">
      <c r="AL74" s="197"/>
      <c r="AM74" s="198"/>
      <c r="AN74" s="198"/>
      <c r="AO74" s="198"/>
      <c r="AP74" s="198"/>
      <c r="AQ74" s="198"/>
      <c r="AS74" s="198"/>
      <c r="AT74" s="198"/>
      <c r="AU74" s="198"/>
      <c r="AV74" s="198"/>
      <c r="AX74" s="198"/>
      <c r="AY74" s="198"/>
      <c r="AZ74" s="198"/>
      <c r="BA74" s="198"/>
    </row>
    <row r="75" spans="38:53" x14ac:dyDescent="0.2">
      <c r="AL75" s="197"/>
      <c r="AM75" s="198"/>
      <c r="AN75" s="198"/>
      <c r="AO75" s="198"/>
      <c r="AP75" s="198"/>
      <c r="AQ75" s="198"/>
      <c r="AS75" s="198"/>
      <c r="AT75" s="198"/>
      <c r="AU75" s="198"/>
      <c r="AV75" s="198"/>
      <c r="AX75" s="198"/>
      <c r="AY75" s="198"/>
      <c r="AZ75" s="198"/>
      <c r="BA75" s="198"/>
    </row>
    <row r="76" spans="38:53" x14ac:dyDescent="0.2">
      <c r="AL76" s="197"/>
      <c r="AM76" s="198"/>
      <c r="AN76" s="198"/>
      <c r="AO76" s="198"/>
      <c r="AP76" s="198"/>
      <c r="AQ76" s="198"/>
      <c r="AS76" s="198"/>
      <c r="AT76" s="198"/>
      <c r="AU76" s="198"/>
      <c r="AV76" s="198"/>
      <c r="AX76" s="198"/>
      <c r="AY76" s="198"/>
      <c r="AZ76" s="198"/>
      <c r="BA76" s="198"/>
    </row>
    <row r="77" spans="38:53" x14ac:dyDescent="0.2">
      <c r="AL77" s="197"/>
      <c r="AM77" s="198"/>
      <c r="AN77" s="198"/>
      <c r="AO77" s="198"/>
      <c r="AP77" s="198"/>
      <c r="AQ77" s="198"/>
      <c r="AS77" s="198"/>
      <c r="AT77" s="198"/>
      <c r="AU77" s="198"/>
      <c r="AV77" s="198"/>
      <c r="AX77" s="198"/>
      <c r="AY77" s="198"/>
      <c r="AZ77" s="198"/>
      <c r="BA77" s="198"/>
    </row>
    <row r="78" spans="38:53" x14ac:dyDescent="0.2">
      <c r="AL78" s="197"/>
      <c r="AM78" s="198"/>
      <c r="AN78" s="198"/>
      <c r="AO78" s="198"/>
      <c r="AP78" s="198"/>
      <c r="AQ78" s="198"/>
      <c r="AS78" s="198"/>
      <c r="AT78" s="198"/>
      <c r="AU78" s="198"/>
      <c r="AV78" s="198"/>
      <c r="AX78" s="198"/>
      <c r="AY78" s="198"/>
      <c r="AZ78" s="198"/>
      <c r="BA78" s="198"/>
    </row>
    <row r="79" spans="38:53" x14ac:dyDescent="0.2">
      <c r="AL79" s="197"/>
      <c r="AM79" s="198"/>
      <c r="AN79" s="198"/>
      <c r="AO79" s="198"/>
      <c r="AP79" s="198"/>
      <c r="AQ79" s="198"/>
      <c r="AS79" s="198"/>
      <c r="AT79" s="198"/>
      <c r="AU79" s="198"/>
      <c r="AV79" s="198"/>
      <c r="AX79" s="198"/>
      <c r="AY79" s="198"/>
      <c r="AZ79" s="198"/>
      <c r="BA79" s="198"/>
    </row>
    <row r="80" spans="38:53" x14ac:dyDescent="0.2">
      <c r="AL80" s="197"/>
      <c r="AM80" s="198"/>
      <c r="AN80" s="198"/>
      <c r="AO80" s="198"/>
      <c r="AP80" s="198"/>
      <c r="AQ80" s="198"/>
      <c r="AS80" s="198"/>
      <c r="AT80" s="198"/>
      <c r="AU80" s="198"/>
      <c r="AV80" s="198"/>
      <c r="AX80" s="198"/>
      <c r="AY80" s="198"/>
      <c r="AZ80" s="198"/>
      <c r="BA80" s="198"/>
    </row>
    <row r="81" spans="38:53" x14ac:dyDescent="0.2">
      <c r="AL81" s="197"/>
      <c r="AM81" s="198"/>
      <c r="AN81" s="198"/>
      <c r="AO81" s="198"/>
      <c r="AP81" s="198"/>
      <c r="AQ81" s="198"/>
      <c r="AS81" s="198"/>
      <c r="AT81" s="198"/>
      <c r="AU81" s="198"/>
      <c r="AV81" s="198"/>
      <c r="AX81" s="198"/>
      <c r="AY81" s="198"/>
      <c r="AZ81" s="198"/>
      <c r="BA81" s="198"/>
    </row>
    <row r="82" spans="38:53" x14ac:dyDescent="0.2">
      <c r="AL82" s="197"/>
      <c r="AM82" s="198"/>
      <c r="AN82" s="198"/>
      <c r="AO82" s="198"/>
      <c r="AP82" s="198"/>
      <c r="AQ82" s="198"/>
      <c r="AS82" s="198"/>
      <c r="AT82" s="198"/>
      <c r="AU82" s="198"/>
      <c r="AV82" s="198"/>
      <c r="AX82" s="198"/>
      <c r="AY82" s="198"/>
      <c r="AZ82" s="198"/>
      <c r="BA82" s="198"/>
    </row>
    <row r="83" spans="38:53" x14ac:dyDescent="0.2">
      <c r="AL83" s="197"/>
      <c r="AM83" s="198"/>
      <c r="AN83" s="198"/>
      <c r="AO83" s="198"/>
      <c r="AP83" s="198"/>
      <c r="AQ83" s="198"/>
      <c r="AS83" s="198"/>
      <c r="AT83" s="198"/>
      <c r="AU83" s="198"/>
      <c r="AV83" s="198"/>
      <c r="AX83" s="198"/>
      <c r="AY83" s="198"/>
      <c r="AZ83" s="198"/>
      <c r="BA83" s="198"/>
    </row>
    <row r="84" spans="38:53" x14ac:dyDescent="0.2">
      <c r="AL84" s="197"/>
      <c r="AM84" s="198"/>
      <c r="AN84" s="198"/>
      <c r="AO84" s="198"/>
      <c r="AP84" s="198"/>
      <c r="AQ84" s="198"/>
      <c r="AS84" s="198"/>
      <c r="AT84" s="198"/>
      <c r="AU84" s="198"/>
      <c r="AV84" s="198"/>
      <c r="AX84" s="198"/>
      <c r="AY84" s="198"/>
      <c r="AZ84" s="198"/>
      <c r="BA84" s="19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5</xdr:col>
                <xdr:colOff>85725</xdr:colOff>
                <xdr:row>0</xdr:row>
                <xdr:rowOff>57150</xdr:rowOff>
              </from>
              <to>
                <xdr:col>7</xdr:col>
                <xdr:colOff>276225</xdr:colOff>
                <xdr:row>2</xdr:row>
                <xdr:rowOff>114300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OptionButton1">
          <controlPr defaultSize="0" autoLine="0" autoPict="0" r:id="rId7">
            <anchor moveWithCells="1">
              <from>
                <xdr:col>9</xdr:col>
                <xdr:colOff>114300</xdr:colOff>
                <xdr:row>1</xdr:row>
                <xdr:rowOff>0</xdr:rowOff>
              </from>
              <to>
                <xdr:col>11</xdr:col>
                <xdr:colOff>171450</xdr:colOff>
                <xdr:row>2</xdr:row>
                <xdr:rowOff>85725</xdr:rowOff>
              </to>
            </anchor>
          </controlPr>
        </control>
      </mc:Choice>
      <mc:Fallback>
        <control shapeId="6146" r:id="rId6" name="OptionButton1"/>
      </mc:Fallback>
    </mc:AlternateContent>
    <mc:AlternateContent xmlns:mc="http://schemas.openxmlformats.org/markup-compatibility/2006">
      <mc:Choice Requires="x14">
        <control shapeId="6147" r:id="rId8" name="OptionButton2">
          <controlPr defaultSize="0" autoLine="0" r:id="rId9">
            <anchor moveWithCells="1">
              <from>
                <xdr:col>12</xdr:col>
                <xdr:colOff>0</xdr:colOff>
                <xdr:row>1</xdr:row>
                <xdr:rowOff>19050</xdr:rowOff>
              </from>
              <to>
                <xdr:col>14</xdr:col>
                <xdr:colOff>171450</xdr:colOff>
                <xdr:row>2</xdr:row>
                <xdr:rowOff>104775</xdr:rowOff>
              </to>
            </anchor>
          </controlPr>
        </control>
      </mc:Choice>
      <mc:Fallback>
        <control shapeId="6147" r:id="rId8" name="Option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27"/>
  <sheetViews>
    <sheetView showGridLines="0" workbookViewId="0">
      <selection activeCell="D25" sqref="D25"/>
    </sheetView>
  </sheetViews>
  <sheetFormatPr defaultColWidth="9" defaultRowHeight="12" x14ac:dyDescent="0.2"/>
  <cols>
    <col min="1" max="1" width="2.28515625" style="43" customWidth="1"/>
    <col min="2" max="2" width="9" style="43"/>
    <col min="3" max="6" width="11.42578125" style="43" customWidth="1"/>
    <col min="7" max="7" width="2.5703125" style="43" customWidth="1"/>
    <col min="8" max="16384" width="9" style="43"/>
  </cols>
  <sheetData>
    <row r="2" spans="2:6" x14ac:dyDescent="0.2">
      <c r="C2" s="43" t="s">
        <v>115</v>
      </c>
    </row>
    <row r="3" spans="2:6" x14ac:dyDescent="0.2">
      <c r="C3" s="43" t="s">
        <v>114</v>
      </c>
    </row>
    <row r="4" spans="2:6" x14ac:dyDescent="0.2">
      <c r="C4" s="43" t="s">
        <v>113</v>
      </c>
    </row>
    <row r="5" spans="2:6" x14ac:dyDescent="0.2">
      <c r="C5" s="43" t="s">
        <v>112</v>
      </c>
    </row>
    <row r="7" spans="2:6" x14ac:dyDescent="0.2">
      <c r="C7" s="43" t="s">
        <v>116</v>
      </c>
      <c r="E7" s="43" t="s">
        <v>118</v>
      </c>
    </row>
    <row r="8" spans="2:6" x14ac:dyDescent="0.2">
      <c r="C8" s="268" t="s">
        <v>117</v>
      </c>
      <c r="D8" s="268" t="s">
        <v>46</v>
      </c>
      <c r="E8" s="268" t="s">
        <v>117</v>
      </c>
      <c r="F8" s="268" t="s">
        <v>46</v>
      </c>
    </row>
    <row r="9" spans="2:6" x14ac:dyDescent="0.2">
      <c r="B9" s="132" t="s">
        <v>87</v>
      </c>
      <c r="C9" s="267">
        <v>1</v>
      </c>
      <c r="D9" s="266">
        <v>2</v>
      </c>
      <c r="E9" s="267">
        <v>3</v>
      </c>
      <c r="F9" s="266">
        <v>4</v>
      </c>
    </row>
    <row r="10" spans="2:6" x14ac:dyDescent="0.2">
      <c r="B10" s="133">
        <v>0.5</v>
      </c>
      <c r="C10" s="260">
        <f>Calc_Press_pc_SGg(1,B10,$H$3,$H$4,$H$5)</f>
        <v>677.375</v>
      </c>
      <c r="D10" s="261">
        <f>Calc_Press_pc_SGg(7,B10,0,0,0)</f>
        <v>675.125</v>
      </c>
      <c r="E10" s="260">
        <f>Calc_TEMPERATURE_pc_SGg(1,B10,$H$3,$H$4,$H$5)</f>
        <v>334.125</v>
      </c>
      <c r="F10" s="261">
        <f>Calc_TEMPERATURE_pc_SGg(7,B10,$H$3,$H$4,$H$5)</f>
        <v>327.375</v>
      </c>
    </row>
    <row r="11" spans="2:6" x14ac:dyDescent="0.2">
      <c r="B11" s="136">
        <v>0.55000000000000004</v>
      </c>
      <c r="C11" s="262">
        <f>Calc_Press_pc_SGg(1,B11,$H$3,$H$4,$H$5)</f>
        <v>674.20725000000004</v>
      </c>
      <c r="D11" s="263">
        <f>Calc_Press_pc_SGg(7,B11,0,0,0)</f>
        <v>673.90625</v>
      </c>
      <c r="E11" s="262">
        <f t="shared" ref="E11:E20" si="0">Calc_TEMPERATURE_pc_SGg(1,B11,$H$3,$H$4,$H$5)</f>
        <v>346.87125000000003</v>
      </c>
      <c r="F11" s="263">
        <f t="shared" ref="F11:F20" si="1">Calc_TEMPERATURE_pc_SGg(7,B11,$H$3,$H$4,$H$5)</f>
        <v>342.96875</v>
      </c>
    </row>
    <row r="12" spans="2:6" x14ac:dyDescent="0.2">
      <c r="B12" s="136">
        <v>0.6</v>
      </c>
      <c r="C12" s="262">
        <f t="shared" ref="C12:C19" si="2">Calc_Press_pc_SGg(1,B12,$H$3,$H$4,$H$5)</f>
        <v>670.98400000000004</v>
      </c>
      <c r="D12" s="263">
        <f t="shared" ref="D12:D20" si="3">Calc_Press_pc_SGg(7,B12,0,0,0)</f>
        <v>672.5</v>
      </c>
      <c r="E12" s="262">
        <f t="shared" si="0"/>
        <v>359.26</v>
      </c>
      <c r="F12" s="263">
        <f t="shared" si="1"/>
        <v>358.5</v>
      </c>
    </row>
    <row r="13" spans="2:6" x14ac:dyDescent="0.2">
      <c r="B13" s="136">
        <v>0.65</v>
      </c>
      <c r="C13" s="262">
        <f t="shared" si="2"/>
        <v>667.70524999999998</v>
      </c>
      <c r="D13" s="263">
        <f t="shared" si="3"/>
        <v>670.90625</v>
      </c>
      <c r="E13" s="262">
        <f t="shared" si="0"/>
        <v>371.29124999999999</v>
      </c>
      <c r="F13" s="263">
        <f t="shared" si="1"/>
        <v>373.96875</v>
      </c>
    </row>
    <row r="14" spans="2:6" x14ac:dyDescent="0.2">
      <c r="B14" s="136">
        <v>0.7</v>
      </c>
      <c r="C14" s="262">
        <f t="shared" si="2"/>
        <v>664.37099999999998</v>
      </c>
      <c r="D14" s="263">
        <f t="shared" si="3"/>
        <v>669.125</v>
      </c>
      <c r="E14" s="262">
        <f t="shared" si="0"/>
        <v>382.96499999999997</v>
      </c>
      <c r="F14" s="263">
        <f t="shared" si="1"/>
        <v>389.375</v>
      </c>
    </row>
    <row r="15" spans="2:6" x14ac:dyDescent="0.2">
      <c r="B15" s="136">
        <v>0.75</v>
      </c>
      <c r="C15" s="262">
        <f t="shared" si="2"/>
        <v>660.98125000000005</v>
      </c>
      <c r="D15" s="263">
        <f t="shared" si="3"/>
        <v>667.15625</v>
      </c>
      <c r="E15" s="262">
        <f t="shared" si="0"/>
        <v>394.28125</v>
      </c>
      <c r="F15" s="263">
        <f t="shared" si="1"/>
        <v>404.71875</v>
      </c>
    </row>
    <row r="16" spans="2:6" x14ac:dyDescent="0.2">
      <c r="B16" s="136">
        <v>0.8</v>
      </c>
      <c r="C16" s="262">
        <f t="shared" si="2"/>
        <v>657.53599999999994</v>
      </c>
      <c r="D16" s="263">
        <f t="shared" si="3"/>
        <v>665</v>
      </c>
      <c r="E16" s="262">
        <f t="shared" si="0"/>
        <v>405.24</v>
      </c>
      <c r="F16" s="263">
        <f t="shared" si="1"/>
        <v>420</v>
      </c>
    </row>
    <row r="17" spans="2:6" x14ac:dyDescent="0.2">
      <c r="B17" s="136">
        <v>0.85</v>
      </c>
      <c r="C17" s="262">
        <f t="shared" si="2"/>
        <v>654.03525000000002</v>
      </c>
      <c r="D17" s="263">
        <f t="shared" si="3"/>
        <v>662.65625</v>
      </c>
      <c r="E17" s="262">
        <f t="shared" si="0"/>
        <v>415.84125</v>
      </c>
      <c r="F17" s="263">
        <f t="shared" si="1"/>
        <v>435.21875</v>
      </c>
    </row>
    <row r="18" spans="2:6" x14ac:dyDescent="0.2">
      <c r="B18" s="136">
        <v>0.9</v>
      </c>
      <c r="C18" s="262">
        <f t="shared" si="2"/>
        <v>650.47900000000004</v>
      </c>
      <c r="D18" s="263">
        <f t="shared" si="3"/>
        <v>660.125</v>
      </c>
      <c r="E18" s="262">
        <f t="shared" si="0"/>
        <v>426.08499999999998</v>
      </c>
      <c r="F18" s="263">
        <f t="shared" si="1"/>
        <v>450.375</v>
      </c>
    </row>
    <row r="19" spans="2:6" x14ac:dyDescent="0.2">
      <c r="B19" s="136">
        <v>0.95</v>
      </c>
      <c r="C19" s="262">
        <f t="shared" si="2"/>
        <v>646.86725000000001</v>
      </c>
      <c r="D19" s="263">
        <f t="shared" si="3"/>
        <v>657.40625</v>
      </c>
      <c r="E19" s="262">
        <f t="shared" si="0"/>
        <v>435.97125</v>
      </c>
      <c r="F19" s="263">
        <f t="shared" si="1"/>
        <v>465.46875</v>
      </c>
    </row>
    <row r="20" spans="2:6" x14ac:dyDescent="0.2">
      <c r="B20" s="139">
        <v>1</v>
      </c>
      <c r="C20" s="264">
        <f>Calc_Press_pc_SGg(1,B20,$H$3,$H$4,$H$5)</f>
        <v>643.20000000000005</v>
      </c>
      <c r="D20" s="265">
        <f t="shared" si="3"/>
        <v>654.5</v>
      </c>
      <c r="E20" s="264">
        <f t="shared" si="0"/>
        <v>445.5</v>
      </c>
      <c r="F20" s="265">
        <f t="shared" si="1"/>
        <v>480.5</v>
      </c>
    </row>
    <row r="21" spans="2:6" x14ac:dyDescent="0.2">
      <c r="D21" s="269"/>
    </row>
    <row r="22" spans="2:6" x14ac:dyDescent="0.2">
      <c r="D22" s="269"/>
    </row>
    <row r="23" spans="2:6" x14ac:dyDescent="0.2">
      <c r="D23" s="269"/>
    </row>
    <row r="24" spans="2:6" x14ac:dyDescent="0.2">
      <c r="D24" s="269"/>
    </row>
    <row r="25" spans="2:6" x14ac:dyDescent="0.2">
      <c r="D25" s="269"/>
    </row>
    <row r="26" spans="2:6" x14ac:dyDescent="0.2">
      <c r="D26" s="269"/>
    </row>
    <row r="27" spans="2:6" x14ac:dyDescent="0.2">
      <c r="D27" s="269"/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f34798a7-f31f-4578-9f63-b9f67aac9770.png"/><Relationship Id="backsetup" Type="http://schemas.openxmlformats.org/officeDocument/2006/relationships/image" Target="images/79fed974-598d-4b6c-a278-ae57f281a767.png"/><Relationship Id="Logo" Type="http://schemas.openxmlformats.org/officeDocument/2006/relationships/image" Target="images/48f44c93-08a4-4f92-8b1e-6825a2e91df5.png"/><Relationship Id="calc_EOS" Type="http://schemas.openxmlformats.org/officeDocument/2006/relationships/image" Target="images/570751b6-eb3f-4808-9930-74256a6770bb.png"/><Relationship Id="tutorial" Type="http://schemas.openxmlformats.org/officeDocument/2006/relationships/image" Target="images/f749a7ab-4b5d-4230-a1d6-81c0a3473eec.png"/><Relationship Id="suma" Type="http://schemas.openxmlformats.org/officeDocument/2006/relationships/image" Target="images/773ad9cc-2a1a-49ea-865f-38505637aa61.png"/><Relationship Id="abc" Type="http://schemas.openxmlformats.org/officeDocument/2006/relationships/image" Target="images/73e9d04f-4e69-45e1-bb93-3e291c72170b.png"/></Relationships>
</file>

<file path=customUI/customUI14.xml><?xml version="1.0" encoding="utf-8"?>
<customUI xmlns="http://schemas.microsoft.com/office/2009/07/customui" onLoad="RibbonOnLoad">
  <ribbon startFromScratch="false">
    <tabs>
      <tab id="ID_PVT_Workbook" label="Fluid Properties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Calc_Properties_EOS_Peng_Robinson" label="Gas Properties">
          <button id="ID_Calculate_pseudo_critial_properties" label="Calculate PseudoCritial Prop." image="suma" size="large" screentip="Franco Help" supertip="Calculate pseudo-critial properties based on gas composition." onAction="OnAc_Calculate_pseudo_critial_properties"/>
          <separator id="separator_1"/>
          <button id="ID_Calculate_properties_EOS_Peng_Robinson" label="Calculate Gas Prop." image="calc_EOS" size="large" screentip="Franco Help" supertip="Calculate gas properties using Peng-Robinson EOS." onAction="OnAc_Calculate_properties_EOS_Peng_Robinson"/>
          <separator id="separator_2"/>
          <button id="ID_Youtube_Tutorial" label="YouTube Tutorial" image="tutorial" size="large" screentip="Franco Help" supertip="Opens YouTube to show Tutorial for Workbook." onAction="OnAc_Youtube_Tutori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Ppc-Tpc from Comp.</vt:lpstr>
      <vt:lpstr>Gas Properties PR EOS</vt:lpstr>
      <vt:lpstr>Plots</vt:lpstr>
      <vt:lpstr>Ppc-Tpc from SGg</vt:lpstr>
      <vt:lpstr>Factor-z EOS PR 1976</vt:lpstr>
      <vt:lpstr>Brown et al (1948)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2020-06-22T20:24:59Z</dcterms:created>
  <dcterms:modified xsi:type="dcterms:W3CDTF">2023-01-30T03:38:14Z</dcterms:modified>
</cp:coreProperties>
</file>